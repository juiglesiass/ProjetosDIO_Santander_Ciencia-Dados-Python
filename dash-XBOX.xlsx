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yjul\Downloads\"/>
    </mc:Choice>
  </mc:AlternateContent>
  <xr:revisionPtr revIDLastSave="0" documentId="8_{88512542-70CC-4E1F-9562-034A87F8FDD2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1" i="3"/>
</calcChain>
</file>

<file path=xl/sharedStrings.xml><?xml version="1.0" encoding="utf-8"?>
<sst xmlns="http://schemas.openxmlformats.org/spreadsheetml/2006/main" count="2034" uniqueCount="337">
  <si>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</si>
  <si>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</si>
  <si>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</si>
  <si>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</si>
  <si>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</si>
  <si>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</si>
  <si>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</si>
  <si>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</si>
  <si>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</si>
  <si>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</si>
  <si>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</si>
  <si>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</si>
  <si>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</si>
  <si>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</si>
  <si>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</si>
  <si>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</si>
  <si>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</si>
  <si>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</si>
  <si>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</si>
  <si>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</si>
  <si>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</si>
  <si>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</si>
  <si>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</si>
  <si>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</si>
  <si>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</si>
  <si>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</si>
  <si>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</si>
  <si>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</si>
  <si>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</si>
  <si>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</si>
  <si>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</si>
  <si>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</si>
  <si>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</si>
  <si>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</si>
  <si>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</si>
  <si>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</si>
  <si>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</si>
  <si>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</si>
  <si>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</si>
  <si>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</si>
  <si>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</si>
  <si>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</si>
  <si>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</si>
  <si>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</si>
  <si>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</si>
  <si>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</si>
  <si>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</si>
  <si>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</si>
  <si>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</si>
  <si>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</si>
  <si>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</si>
  <si>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</si>
  <si>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</si>
  <si>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</si>
  <si>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</si>
  <si>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</si>
  <si>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</si>
  <si>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</si>
  <si>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</si>
  <si>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</si>
  <si>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</si>
  <si>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</si>
  <si>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</si>
  <si>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</si>
  <si>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</si>
  <si>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</si>
  <si>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</si>
  <si>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</si>
  <si>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</si>
  <si>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</si>
  <si>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</si>
  <si>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</si>
  <si>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</si>
  <si>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</si>
  <si>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</si>
  <si>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</si>
  <si>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</si>
  <si>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</si>
  <si>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</si>
  <si>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</si>
  <si>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</si>
  <si>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</si>
  <si>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</si>
  <si>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</si>
  <si>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</si>
  <si>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</si>
  <si>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</si>
  <si>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</si>
  <si>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</si>
  <si>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</si>
  <si>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</si>
  <si>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</si>
  <si>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</si>
  <si>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</si>
  <si>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</si>
  <si>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</si>
  <si>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</si>
  <si>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</si>
  <si>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</si>
  <si>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</si>
  <si>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</si>
  <si>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</si>
  <si>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</si>
  <si>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</si>
  <si>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</si>
  <si>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</si>
  <si>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</si>
  <si>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</si>
  <si>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</si>
  <si>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</si>
  <si>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</si>
  <si>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</si>
  <si>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</si>
  <si>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</si>
  <si>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</si>
  <si>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</si>
  <si>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</si>
  <si>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</si>
  <si>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</si>
  <si>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</si>
  <si>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</si>
  <si>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</si>
  <si>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</si>
  <si>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</si>
  <si>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</si>
  <si>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</si>
  <si>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</si>
  <si>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</si>
  <si>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</si>
  <si>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</si>
  <si>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</si>
  <si>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</si>
  <si>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</si>
  <si>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</si>
  <si>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</si>
  <si>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</si>
  <si>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</si>
  <si>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</si>
  <si>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</si>
  <si>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</si>
  <si>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</si>
  <si>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</si>
  <si>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</si>
  <si>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</si>
  <si>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</si>
  <si>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</si>
  <si>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</si>
  <si>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</si>
  <si>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</si>
  <si>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</si>
  <si>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</si>
  <si>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</si>
  <si>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</si>
  <si>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</si>
  <si>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</si>
  <si>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</si>
  <si>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</si>
  <si>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</si>
  <si>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</si>
  <si>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</si>
  <si>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</si>
  <si>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</si>
  <si>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</si>
  <si>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</si>
  <si>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</si>
  <si>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</si>
  <si>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</si>
  <si>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</si>
  <si>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</si>
  <si>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</si>
  <si>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</si>
  <si>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</si>
  <si>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</si>
  <si>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</si>
  <si>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</si>
  <si>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</si>
  <si>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</si>
  <si>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</si>
  <si>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</si>
  <si>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</si>
  <si>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</si>
  <si>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</si>
  <si>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</si>
  <si>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</si>
  <si>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</si>
  <si>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</si>
  <si>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</si>
  <si>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</si>
  <si>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</si>
  <si>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</si>
  <si>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</si>
  <si>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</si>
  <si>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</si>
  <si>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</si>
  <si>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</si>
  <si>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</si>
  <si>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</si>
  <si>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</si>
  <si>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</si>
  <si>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</si>
  <si>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</si>
  <si>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</si>
  <si>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</si>
  <si>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</si>
  <si>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</si>
  <si>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</si>
  <si>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</si>
  <si>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</si>
  <si>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</si>
  <si>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</si>
  <si>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</si>
  <si>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</si>
  <si>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</si>
  <si>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</si>
  <si>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</si>
  <si>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</si>
  <si>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</si>
  <si>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</si>
  <si>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</si>
  <si>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</si>
  <si>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</si>
  <si>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</si>
  <si>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</si>
  <si>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</si>
  <si>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</si>
  <si>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</si>
  <si>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</si>
  <si>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</si>
  <si>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</si>
  <si>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</si>
  <si>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</si>
  <si>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</si>
  <si>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</si>
  <si>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</si>
  <si>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</si>
  <si>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</si>
  <si>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</si>
  <si>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</si>
  <si>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</si>
  <si>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</si>
  <si>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</si>
  <si>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</si>
  <si>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</si>
  <si>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</si>
  <si>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</si>
  <si>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</si>
  <si>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</si>
  <si>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</si>
  <si>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</si>
  <si>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</si>
  <si>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</si>
  <si>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</si>
  <si>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</si>
  <si>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</si>
  <si>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</si>
  <si>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</si>
  <si>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</si>
  <si>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</si>
  <si>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</si>
  <si>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</si>
  <si>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</si>
  <si>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</si>
  <si>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</si>
  <si>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</si>
  <si>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</si>
  <si>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</si>
  <si>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</si>
  <si>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</si>
  <si>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</si>
  <si>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</si>
  <si>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</si>
  <si>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</si>
  <si>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</si>
  <si>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</si>
  <si>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</si>
  <si>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</si>
  <si>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</si>
  <si>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</si>
  <si>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</si>
  <si>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</si>
  <si>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</si>
  <si>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</si>
  <si>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</si>
  <si>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</si>
  <si>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</si>
  <si>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</si>
  <si>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</si>
  <si>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</si>
  <si>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</si>
  <si>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</si>
  <si>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</si>
  <si>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</si>
  <si>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</si>
  <si>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</si>
  <si>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</si>
  <si>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</si>
  <si>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</si>
  <si>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</si>
  <si>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</si>
  <si>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</si>
  <si>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</si>
  <si>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</si>
  <si>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</si>
  <si>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</si>
  <si>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</si>
  <si>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</si>
  <si>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</si>
  <si>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</si>
  <si>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</si>
  <si>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</si>
  <si>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</si>
  <si>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</si>
  <si>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</si>
  <si>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Qual faturamento Total de vendas de planos anuais contando todas as assinaturas agregadas</t>
  </si>
  <si>
    <t>Rótulos de Linha</t>
  </si>
  <si>
    <t>Total Geral</t>
  </si>
  <si>
    <t>Soma de Total Value</t>
  </si>
  <si>
    <t>(Tudo)</t>
  </si>
  <si>
    <t>Qual faturamento Total de vendas de planos anuais separado por auto renovacao nao e por auto renovacao</t>
  </si>
  <si>
    <t>Total de vendas dde ass do EA Play</t>
  </si>
  <si>
    <t>Soma de EA Play Season Pass</t>
  </si>
  <si>
    <t>total de vendas assi do mine season pass</t>
  </si>
  <si>
    <t>Soma de Minecraft Season Pass Price</t>
  </si>
  <si>
    <t xml:space="preserve">          XBOX GAMES PASS SUBSCRIPTIONS SALES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</si>
  <si>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</si>
  <si>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</si>
  <si>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</si>
  <si>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</si>
  <si>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</si>
  <si>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</si>
  <si>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</si>
  <si>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</si>
  <si>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</si>
  <si>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</si>
  <si>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</si>
  <si>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jan</t>
  </si>
  <si>
    <t>Contagem de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</si>
</sst>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Li"/>
    </font>
    <font>
      <b/>
      <sz val="22"/>
      <color rgb="FF2AE6B1"/>
      <name val="Segoe L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4" fillId="8" borderId="2" xfId="1" applyFont="1" applyFill="1" applyBorder="1"/>
    <xf numFmtId="0" fontId="0" fillId="0" borderId="0" xfId="0" applyNumberFormat="1"/>
    <xf numFmtId="44" fontId="0" fillId="0" borderId="0" xfId="2" applyFont="1"/>
    <xf numFmtId="0" fontId="5" fillId="8" borderId="2" xfId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18">
    <dxf>
      <font>
        <color theme="0"/>
      </font>
      <fill>
        <patternFill patternType="solid">
          <bgColor rgb="FF2AE6B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F1894898-EE45-4EA9-BE17-E6870B7E312E}">
      <tableStyleElement type="wholeTable" dxfId="1"/>
      <tableStyleElement type="headerRow" dxfId="0"/>
    </tableStyle>
    <tableStyle name="SlicerStyleLight6 3" pivot="0" table="0" count="10" xr9:uid="{3B1F3E0A-8B35-4FD8-AD78-E756AD01ABDF}">
      <tableStyleElement type="wholeTable" dxfId="3"/>
      <tableStyleElement type="headerRow" dxfId="2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[dash-XBOX.xlsx]C̳álculos!tbl__annual_total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697342479507094E-2"/>
          <c:y val="4.5256593872769042E-2"/>
          <c:w val="0.90056693343489524"/>
          <c:h val="0.909486812254461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C-4810-B3F3-FBBD5C90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8874560"/>
        <c:axId val="1118872640"/>
      </c:barChart>
      <c:catAx>
        <c:axId val="111887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8872640"/>
        <c:crosses val="autoZero"/>
        <c:auto val="1"/>
        <c:lblAlgn val="ctr"/>
        <c:lblOffset val="100"/>
        <c:noMultiLvlLbl val="0"/>
      </c:catAx>
      <c:valAx>
        <c:axId val="11188726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188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[dash-XBOX.xlsx]C̳álculos!tbl_countstart</c:name>
    <c:fmtId val="1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C̳álculos!$C$39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5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C̳álculos!$B$40:$B$52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C̳álculos!$C$40:$C$52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A-4717-A61B-631A0D6673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40180303"/>
        <c:axId val="1140183183"/>
      </c:lineChart>
      <c:catAx>
        <c:axId val="11401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183183"/>
        <c:crosses val="autoZero"/>
        <c:auto val="1"/>
        <c:lblAlgn val="ctr"/>
        <c:lblOffset val="100"/>
        <c:noMultiLvlLbl val="0"/>
      </c:catAx>
      <c:valAx>
        <c:axId val="114018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180303"/>
        <c:crosses val="autoZero"/>
        <c:crossBetween val="between"/>
      </c:valAx>
      <c:spPr>
        <a:solidFill>
          <a:srgbClr val="2AE6B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E6B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380998</xdr:colOff>
      <xdr:row>0</xdr:row>
      <xdr:rowOff>0</xdr:rowOff>
    </xdr:from>
    <xdr:to>
      <xdr:col>3</xdr:col>
      <xdr:colOff>35716</xdr:colOff>
      <xdr:row>2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089089-E230-4450-82D9-374689F47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7" t="19374" r="72428" b="24566"/>
        <a:stretch>
          <a:fillRect/>
        </a:stretch>
      </xdr:blipFill>
      <xdr:spPr>
        <a:xfrm>
          <a:off x="2786061" y="0"/>
          <a:ext cx="940593" cy="881063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273845</xdr:colOff>
      <xdr:row>7</xdr:row>
      <xdr:rowOff>130969</xdr:rowOff>
    </xdr:from>
    <xdr:to>
      <xdr:col>0</xdr:col>
      <xdr:colOff>2202657</xdr:colOff>
      <xdr:row>19</xdr:row>
      <xdr:rowOff>166687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6C5F446-C7F2-4B44-A64F-3758105277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845" y="1714500"/>
              <a:ext cx="1928812" cy="24169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547687</xdr:colOff>
      <xdr:row>6</xdr:row>
      <xdr:rowOff>23812</xdr:rowOff>
    </xdr:from>
    <xdr:to>
      <xdr:col>10</xdr:col>
      <xdr:colOff>642938</xdr:colOff>
      <xdr:row>14</xdr:row>
      <xdr:rowOff>166688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917F15A-CF82-A927-7A7C-738ABAA6F6D2}"/>
            </a:ext>
          </a:extLst>
        </xdr:cNvPr>
        <xdr:cNvGrpSpPr/>
      </xdr:nvGrpSpPr>
      <xdr:grpSpPr>
        <a:xfrm>
          <a:off x="2952750" y="1488281"/>
          <a:ext cx="6215063" cy="1750220"/>
          <a:chOff x="2809875" y="1262062"/>
          <a:chExt cx="4869656" cy="175022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3C0C62C-848D-0E3E-C857-AFFC3074F810}"/>
              </a:ext>
            </a:extLst>
          </xdr:cNvPr>
          <xdr:cNvSpPr/>
        </xdr:nvSpPr>
        <xdr:spPr>
          <a:xfrm>
            <a:off x="2809875" y="1273968"/>
            <a:ext cx="4857750" cy="1583532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4A11556-90D5-458C-9190-DC732BCD2083}"/>
              </a:ext>
            </a:extLst>
          </xdr:cNvPr>
          <xdr:cNvSpPr/>
        </xdr:nvSpPr>
        <xdr:spPr>
          <a:xfrm>
            <a:off x="4679156" y="1759742"/>
            <a:ext cx="2666999" cy="107394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741723-23B6-4142-8FEE-2EAA71FEA38A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R$ 2.940,00 </a:t>
            </a:fld>
            <a:endParaRPr lang="pt-BR" sz="3600">
              <a:solidFill>
                <a:srgbClr val="2AE6B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7C1BFA8-3B04-4B85-80A6-4BA8AD3EF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45657" y="1545431"/>
            <a:ext cx="1500188" cy="1466851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24FEF72-2F33-5DEB-A2E8-329A49FE7552}"/>
              </a:ext>
            </a:extLst>
          </xdr:cNvPr>
          <xdr:cNvSpPr/>
        </xdr:nvSpPr>
        <xdr:spPr>
          <a:xfrm>
            <a:off x="2809875" y="1262062"/>
            <a:ext cx="4869656" cy="45243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357187</xdr:colOff>
      <xdr:row>5</xdr:row>
      <xdr:rowOff>119062</xdr:rowOff>
    </xdr:from>
    <xdr:to>
      <xdr:col>20</xdr:col>
      <xdr:colOff>595313</xdr:colOff>
      <xdr:row>14</xdr:row>
      <xdr:rowOff>11905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F40A4E9-B592-21B5-67F7-6A3222ACF050}"/>
            </a:ext>
          </a:extLst>
        </xdr:cNvPr>
        <xdr:cNvGrpSpPr/>
      </xdr:nvGrpSpPr>
      <xdr:grpSpPr>
        <a:xfrm>
          <a:off x="9572625" y="1452562"/>
          <a:ext cx="6262688" cy="1631156"/>
          <a:chOff x="8239125" y="1238249"/>
          <a:chExt cx="5524500" cy="1595438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0A322612-B105-616D-CEDD-3EC2EA262F4F}"/>
              </a:ext>
            </a:extLst>
          </xdr:cNvPr>
          <xdr:cNvSpPr/>
        </xdr:nvSpPr>
        <xdr:spPr>
          <a:xfrm>
            <a:off x="8239125" y="1250155"/>
            <a:ext cx="5510993" cy="1583532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3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E64B369E-9A4C-4D1A-FA4B-92FFE53BE0BD}"/>
              </a:ext>
            </a:extLst>
          </xdr:cNvPr>
          <xdr:cNvSpPr/>
        </xdr:nvSpPr>
        <xdr:spPr>
          <a:xfrm>
            <a:off x="10359776" y="1735929"/>
            <a:ext cx="3025642" cy="107394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B8CAD9E4-E585-4657-A722-253BD9DB1307}" type="TxLink">
              <a:rPr lang="en-US" sz="36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rPr>
              <a:pPr marL="0" indent="0" algn="ctr"/>
              <a:t> R$ 3.880,00 </a:t>
            </a:fld>
            <a:endParaRPr lang="pt-BR" sz="3600" b="0" i="0" u="none" strike="noStrike">
              <a:solidFill>
                <a:srgbClr val="2AE6B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3E2716F1-8DDC-E7F6-439F-253746E207F1}"/>
              </a:ext>
            </a:extLst>
          </xdr:cNvPr>
          <xdr:cNvSpPr/>
        </xdr:nvSpPr>
        <xdr:spPr>
          <a:xfrm>
            <a:off x="8239125" y="1238249"/>
            <a:ext cx="5524500" cy="45243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 MINECRAFT</a:t>
            </a:r>
            <a:r>
              <a:rPr lang="pt-BR" sz="1600" b="1" baseline="0"/>
              <a:t> </a:t>
            </a:r>
            <a:r>
              <a:rPr lang="pt-BR" sz="1600" b="1"/>
              <a:t>SEASON PASS</a:t>
            </a: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C3A4E80-7EA2-48A4-ABB3-C97E6B3097F6}"/>
              </a:ext>
            </a:extLst>
          </xdr:cNvPr>
          <xdr:cNvGrpSpPr/>
        </xdr:nvGrpSpPr>
        <xdr:grpSpPr>
          <a:xfrm>
            <a:off x="8989219" y="1857373"/>
            <a:ext cx="1416843" cy="619125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B1D61621-70EE-D479-C350-70F59B92B8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E24EB564-740F-AE97-3FCB-E17A3DEB5D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16</xdr:row>
      <xdr:rowOff>57150</xdr:rowOff>
    </xdr:from>
    <xdr:to>
      <xdr:col>20</xdr:col>
      <xdr:colOff>654844</xdr:colOff>
      <xdr:row>38</xdr:row>
      <xdr:rowOff>11906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F024F61-ED8F-B4AA-0137-3423DA37E2E0}"/>
            </a:ext>
          </a:extLst>
        </xdr:cNvPr>
        <xdr:cNvGrpSpPr/>
      </xdr:nvGrpSpPr>
      <xdr:grpSpPr>
        <a:xfrm>
          <a:off x="3012281" y="3486150"/>
          <a:ext cx="12882563" cy="3883819"/>
          <a:chOff x="2807493" y="3259931"/>
          <a:chExt cx="11255264" cy="388381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1432CE4E-A1F1-2738-8AF3-FB9561737C05}"/>
              </a:ext>
            </a:extLst>
          </xdr:cNvPr>
          <xdr:cNvGrpSpPr/>
        </xdr:nvGrpSpPr>
        <xdr:grpSpPr>
          <a:xfrm>
            <a:off x="2809876" y="3262312"/>
            <a:ext cx="11252881" cy="3881438"/>
            <a:chOff x="2381250" y="1436455"/>
            <a:chExt cx="4964906" cy="30003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CBD9CA5-1D7E-D992-DA73-37331B88A1A2}"/>
                </a:ext>
              </a:extLst>
            </xdr:cNvPr>
            <xdr:cNvSpPr/>
          </xdr:nvSpPr>
          <xdr:spPr>
            <a:xfrm>
              <a:off x="2381250" y="1436455"/>
              <a:ext cx="4964906" cy="300037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ED36807-0561-4C5A-9817-8291CA2B4362}"/>
                </a:ext>
              </a:extLst>
            </xdr:cNvPr>
            <xdr:cNvGraphicFramePr>
              <a:graphicFrameLocks/>
            </xdr:cNvGraphicFramePr>
          </xdr:nvGraphicFramePr>
          <xdr:xfrm>
            <a:off x="2633402" y="1999432"/>
            <a:ext cx="4549254" cy="238614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9FF022D4-6EE0-4D6E-AEF9-7048E4524A52}"/>
              </a:ext>
            </a:extLst>
          </xdr:cNvPr>
          <xdr:cNvSpPr/>
        </xdr:nvSpPr>
        <xdr:spPr>
          <a:xfrm>
            <a:off x="2807493" y="3259931"/>
            <a:ext cx="11253788" cy="58578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TOTAL SUBSCRIPTIONS  XBOX</a:t>
            </a:r>
            <a:r>
              <a:rPr lang="pt-BR" sz="2000" b="1" baseline="0"/>
              <a:t> GAME PASS</a:t>
            </a:r>
            <a:endParaRPr lang="pt-BR" sz="2000" b="1"/>
          </a:p>
        </xdr:txBody>
      </xdr:sp>
    </xdr:grpSp>
    <xdr:clientData/>
  </xdr:twoCellAnchor>
  <xdr:twoCellAnchor>
    <xdr:from>
      <xdr:col>0</xdr:col>
      <xdr:colOff>690564</xdr:colOff>
      <xdr:row>1</xdr:row>
      <xdr:rowOff>1</xdr:rowOff>
    </xdr:from>
    <xdr:to>
      <xdr:col>0</xdr:col>
      <xdr:colOff>1583532</xdr:colOff>
      <xdr:row>3</xdr:row>
      <xdr:rowOff>83344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1A6A8E33-04F1-4325-B94B-749B32DC545C}"/>
            </a:ext>
          </a:extLst>
        </xdr:cNvPr>
        <xdr:cNvSpPr/>
      </xdr:nvSpPr>
      <xdr:spPr>
        <a:xfrm>
          <a:off x="690564" y="178595"/>
          <a:ext cx="892968" cy="89296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214312</xdr:colOff>
      <xdr:row>3</xdr:row>
      <xdr:rowOff>226219</xdr:rowOff>
    </xdr:from>
    <xdr:to>
      <xdr:col>0</xdr:col>
      <xdr:colOff>2190750</xdr:colOff>
      <xdr:row>6</xdr:row>
      <xdr:rowOff>23812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DBB1CE2E-6826-9B27-DDE0-C3718BBC42ED}"/>
            </a:ext>
          </a:extLst>
        </xdr:cNvPr>
        <xdr:cNvSpPr/>
      </xdr:nvSpPr>
      <xdr:spPr>
        <a:xfrm>
          <a:off x="214312" y="1214438"/>
          <a:ext cx="1976438" cy="27384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BEM VINDA, JULIA!</a:t>
          </a:r>
        </a:p>
      </xdr:txBody>
    </xdr:sp>
    <xdr:clientData/>
  </xdr:twoCellAnchor>
  <xdr:twoCellAnchor>
    <xdr:from>
      <xdr:col>1</xdr:col>
      <xdr:colOff>521492</xdr:colOff>
      <xdr:row>3</xdr:row>
      <xdr:rowOff>69058</xdr:rowOff>
    </xdr:from>
    <xdr:to>
      <xdr:col>13</xdr:col>
      <xdr:colOff>583405</xdr:colOff>
      <xdr:row>5</xdr:row>
      <xdr:rowOff>107158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CA294EFF-AF35-4E2D-AF59-256C2D44C9D2}"/>
            </a:ext>
          </a:extLst>
        </xdr:cNvPr>
        <xdr:cNvSpPr/>
      </xdr:nvSpPr>
      <xdr:spPr>
        <a:xfrm>
          <a:off x="2926555" y="1057277"/>
          <a:ext cx="8062913" cy="3833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>
              <a:solidFill>
                <a:schemeClr val="tx1">
                  <a:lumMod val="50000"/>
                  <a:lumOff val="50000"/>
                </a:schemeClr>
              </a:solidFill>
            </a:rPr>
            <a:t>CALCULATION</a:t>
          </a:r>
          <a:r>
            <a:rPr lang="pt-BR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PERIOD: 01/01/2025 - 31/12/2025 | UPDATE DATE: 15/01/2026</a:t>
          </a:r>
          <a:endParaRPr lang="pt-BR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2</xdr:col>
      <xdr:colOff>204789</xdr:colOff>
      <xdr:row>25</xdr:row>
      <xdr:rowOff>107159</xdr:rowOff>
    </xdr:from>
    <xdr:to>
      <xdr:col>2</xdr:col>
      <xdr:colOff>588170</xdr:colOff>
      <xdr:row>31</xdr:row>
      <xdr:rowOff>123829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2BBE2277-CD04-4CD2-BC30-EE5CFD7E12C0}"/>
            </a:ext>
          </a:extLst>
        </xdr:cNvPr>
        <xdr:cNvSpPr/>
      </xdr:nvSpPr>
      <xdr:spPr>
        <a:xfrm rot="16200000">
          <a:off x="2852739" y="5495928"/>
          <a:ext cx="1088232" cy="3833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>
              <a:solidFill>
                <a:schemeClr val="tx1">
                  <a:lumMod val="50000"/>
                  <a:lumOff val="50000"/>
                </a:schemeClr>
              </a:solidFill>
            </a:rPr>
            <a:t>AUTO</a:t>
          </a:r>
          <a:r>
            <a:rPr lang="pt-BR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REVEAL</a:t>
          </a:r>
          <a:endParaRPr lang="pt-BR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4</xdr:col>
      <xdr:colOff>190500</xdr:colOff>
      <xdr:row>40</xdr:row>
      <xdr:rowOff>116681</xdr:rowOff>
    </xdr:from>
    <xdr:to>
      <xdr:col>13</xdr:col>
      <xdr:colOff>523874</xdr:colOff>
      <xdr:row>62</xdr:row>
      <xdr:rowOff>71437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59676187-6E19-C0CD-D45E-D3F3EEFFD94D}"/>
            </a:ext>
          </a:extLst>
        </xdr:cNvPr>
        <xdr:cNvGrpSpPr/>
      </xdr:nvGrpSpPr>
      <xdr:grpSpPr>
        <a:xfrm>
          <a:off x="4572000" y="7831931"/>
          <a:ext cx="6357937" cy="3883819"/>
          <a:chOff x="2807493" y="3259931"/>
          <a:chExt cx="11255264" cy="3883819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FD3D2C7A-B817-3AD5-D804-05A3309AB65E}"/>
              </a:ext>
            </a:extLst>
          </xdr:cNvPr>
          <xdr:cNvSpPr/>
        </xdr:nvSpPr>
        <xdr:spPr>
          <a:xfrm>
            <a:off x="2809876" y="3262312"/>
            <a:ext cx="11252881" cy="3881438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860C4DFD-9ED7-6A2F-4848-D34347D1141E}"/>
              </a:ext>
            </a:extLst>
          </xdr:cNvPr>
          <xdr:cNvSpPr/>
        </xdr:nvSpPr>
        <xdr:spPr>
          <a:xfrm>
            <a:off x="2807493" y="3259931"/>
            <a:ext cx="11253788" cy="58578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/>
              <a:t>TOTAL</a:t>
            </a:r>
            <a:r>
              <a:rPr lang="pt-BR" sz="2000" b="1" baseline="0"/>
              <a:t> </a:t>
            </a:r>
            <a:r>
              <a:rPr lang="pt-BR" sz="20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XBOX</a:t>
            </a:r>
            <a:r>
              <a:rPr lang="pt-BR" sz="20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GAME PASS</a:t>
            </a:r>
            <a:r>
              <a:rPr lang="pt-BR" sz="2000" b="1" baseline="0"/>
              <a:t>SUBSCRIPTIONS BY MOUNTH</a:t>
            </a:r>
            <a:endParaRPr lang="pt-BR" sz="2000" b="1"/>
          </a:p>
        </xdr:txBody>
      </xdr:sp>
    </xdr:grpSp>
    <xdr:clientData/>
  </xdr:twoCellAnchor>
  <xdr:twoCellAnchor>
    <xdr:from>
      <xdr:col>5</xdr:col>
      <xdr:colOff>273843</xdr:colOff>
      <xdr:row>45</xdr:row>
      <xdr:rowOff>107155</xdr:rowOff>
    </xdr:from>
    <xdr:to>
      <xdr:col>12</xdr:col>
      <xdr:colOff>452438</xdr:colOff>
      <xdr:row>60</xdr:row>
      <xdr:rowOff>28574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8766FAC-BC40-4CA6-B5B9-7A9F0177C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Iglesias" refreshedDate="46039.468402546299" createdVersion="8" refreshedVersion="8" minRefreshableVersion="3" recordCount="295" xr:uid="{F310B946-01A3-4D67-AFF7-60DB7222D49B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5434601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x v="0"/>
  </r>
  <r>
    <n v="3232"/>
    <x v="1"/>
    <x v="1"/>
    <x v="1"/>
    <x v="1"/>
    <n v="5"/>
    <x v="1"/>
    <s v="No"/>
    <x v="1"/>
    <s v="No"/>
    <n v="0"/>
    <n v="0"/>
    <x v="1"/>
  </r>
  <r>
    <n v="3233"/>
    <x v="2"/>
    <x v="2"/>
    <x v="2"/>
    <x v="0"/>
    <n v="10"/>
    <x v="2"/>
    <s v="No"/>
    <x v="1"/>
    <s v="Yes"/>
    <n v="20"/>
    <n v="10"/>
    <x v="2"/>
  </r>
  <r>
    <n v="3234"/>
    <x v="3"/>
    <x v="0"/>
    <x v="3"/>
    <x v="1"/>
    <n v="15"/>
    <x v="0"/>
    <s v="Yes"/>
    <x v="0"/>
    <s v="Yes"/>
    <n v="20"/>
    <n v="3"/>
    <x v="3"/>
  </r>
  <r>
    <n v="3235"/>
    <x v="4"/>
    <x v="1"/>
    <x v="4"/>
    <x v="0"/>
    <n v="5"/>
    <x v="0"/>
    <s v="No"/>
    <x v="1"/>
    <s v="No"/>
    <n v="0"/>
    <n v="1"/>
    <x v="4"/>
  </r>
  <r>
    <n v="3236"/>
    <x v="5"/>
    <x v="2"/>
    <x v="5"/>
    <x v="1"/>
    <n v="10"/>
    <x v="0"/>
    <s v="No"/>
    <x v="1"/>
    <s v="Yes"/>
    <n v="20"/>
    <n v="2"/>
    <x v="5"/>
  </r>
  <r>
    <n v="3237"/>
    <x v="6"/>
    <x v="0"/>
    <x v="6"/>
    <x v="0"/>
    <n v="15"/>
    <x v="2"/>
    <s v="Yes"/>
    <x v="0"/>
    <s v="Yes"/>
    <n v="20"/>
    <n v="10"/>
    <x v="6"/>
  </r>
  <r>
    <n v="3238"/>
    <x v="7"/>
    <x v="1"/>
    <x v="7"/>
    <x v="0"/>
    <n v="5"/>
    <x v="1"/>
    <s v="No"/>
    <x v="1"/>
    <s v="No"/>
    <n v="0"/>
    <n v="0"/>
    <x v="1"/>
  </r>
  <r>
    <n v="3239"/>
    <x v="8"/>
    <x v="0"/>
    <x v="4"/>
    <x v="1"/>
    <n v="15"/>
    <x v="0"/>
    <s v="Yes"/>
    <x v="0"/>
    <s v="Yes"/>
    <n v="20"/>
    <n v="5"/>
    <x v="0"/>
  </r>
  <r>
    <n v="3240"/>
    <x v="9"/>
    <x v="2"/>
    <x v="8"/>
    <x v="0"/>
    <n v="10"/>
    <x v="2"/>
    <s v="No"/>
    <x v="1"/>
    <s v="Yes"/>
    <n v="20"/>
    <n v="15"/>
    <x v="7"/>
  </r>
  <r>
    <n v="3241"/>
    <x v="10"/>
    <x v="1"/>
    <x v="9"/>
    <x v="1"/>
    <n v="5"/>
    <x v="0"/>
    <s v="No"/>
    <x v="1"/>
    <s v="No"/>
    <n v="0"/>
    <n v="1"/>
    <x v="4"/>
  </r>
  <r>
    <n v="3242"/>
    <x v="11"/>
    <x v="0"/>
    <x v="10"/>
    <x v="0"/>
    <n v="15"/>
    <x v="1"/>
    <s v="Yes"/>
    <x v="0"/>
    <s v="Yes"/>
    <n v="20"/>
    <n v="20"/>
    <x v="8"/>
  </r>
  <r>
    <n v="3243"/>
    <x v="12"/>
    <x v="2"/>
    <x v="11"/>
    <x v="1"/>
    <n v="10"/>
    <x v="0"/>
    <s v="No"/>
    <x v="1"/>
    <s v="Yes"/>
    <n v="20"/>
    <n v="10"/>
    <x v="2"/>
  </r>
  <r>
    <n v="3244"/>
    <x v="13"/>
    <x v="1"/>
    <x v="12"/>
    <x v="0"/>
    <n v="5"/>
    <x v="2"/>
    <s v="No"/>
    <x v="1"/>
    <s v="No"/>
    <n v="0"/>
    <n v="0"/>
    <x v="1"/>
  </r>
  <r>
    <n v="3245"/>
    <x v="14"/>
    <x v="0"/>
    <x v="13"/>
    <x v="1"/>
    <n v="15"/>
    <x v="0"/>
    <s v="Yes"/>
    <x v="0"/>
    <s v="Yes"/>
    <n v="20"/>
    <n v="8"/>
    <x v="9"/>
  </r>
  <r>
    <n v="3246"/>
    <x v="15"/>
    <x v="2"/>
    <x v="14"/>
    <x v="0"/>
    <n v="10"/>
    <x v="1"/>
    <s v="No"/>
    <x v="1"/>
    <s v="Yes"/>
    <n v="20"/>
    <n v="12"/>
    <x v="10"/>
  </r>
  <r>
    <n v="3247"/>
    <x v="16"/>
    <x v="1"/>
    <x v="15"/>
    <x v="1"/>
    <n v="5"/>
    <x v="0"/>
    <s v="No"/>
    <x v="1"/>
    <s v="No"/>
    <n v="0"/>
    <n v="2"/>
    <x v="11"/>
  </r>
  <r>
    <n v="3248"/>
    <x v="17"/>
    <x v="0"/>
    <x v="16"/>
    <x v="0"/>
    <n v="15"/>
    <x v="2"/>
    <s v="Yes"/>
    <x v="0"/>
    <s v="Yes"/>
    <n v="20"/>
    <n v="7"/>
    <x v="12"/>
  </r>
  <r>
    <n v="3249"/>
    <x v="18"/>
    <x v="2"/>
    <x v="17"/>
    <x v="1"/>
    <n v="10"/>
    <x v="0"/>
    <s v="No"/>
    <x v="1"/>
    <s v="Yes"/>
    <n v="20"/>
    <n v="5"/>
    <x v="13"/>
  </r>
  <r>
    <n v="3250"/>
    <x v="19"/>
    <x v="1"/>
    <x v="18"/>
    <x v="0"/>
    <n v="5"/>
    <x v="1"/>
    <s v="No"/>
    <x v="1"/>
    <s v="No"/>
    <n v="0"/>
    <n v="0"/>
    <x v="1"/>
  </r>
  <r>
    <n v="3251"/>
    <x v="20"/>
    <x v="0"/>
    <x v="19"/>
    <x v="1"/>
    <n v="15"/>
    <x v="0"/>
    <s v="Yes"/>
    <x v="0"/>
    <s v="Yes"/>
    <n v="20"/>
    <n v="3"/>
    <x v="3"/>
  </r>
  <r>
    <n v="3252"/>
    <x v="21"/>
    <x v="2"/>
    <x v="20"/>
    <x v="0"/>
    <n v="10"/>
    <x v="2"/>
    <s v="No"/>
    <x v="1"/>
    <s v="Yes"/>
    <n v="20"/>
    <n v="15"/>
    <x v="7"/>
  </r>
  <r>
    <n v="3253"/>
    <x v="22"/>
    <x v="1"/>
    <x v="21"/>
    <x v="1"/>
    <n v="5"/>
    <x v="0"/>
    <s v="No"/>
    <x v="1"/>
    <s v="No"/>
    <n v="0"/>
    <n v="1"/>
    <x v="4"/>
  </r>
  <r>
    <n v="3254"/>
    <x v="23"/>
    <x v="0"/>
    <x v="22"/>
    <x v="0"/>
    <n v="15"/>
    <x v="1"/>
    <s v="Yes"/>
    <x v="0"/>
    <s v="Yes"/>
    <n v="20"/>
    <n v="20"/>
    <x v="8"/>
  </r>
  <r>
    <n v="3255"/>
    <x v="24"/>
    <x v="2"/>
    <x v="23"/>
    <x v="1"/>
    <n v="10"/>
    <x v="0"/>
    <s v="No"/>
    <x v="1"/>
    <s v="Yes"/>
    <n v="20"/>
    <n v="10"/>
    <x v="2"/>
  </r>
  <r>
    <n v="3256"/>
    <x v="25"/>
    <x v="1"/>
    <x v="24"/>
    <x v="0"/>
    <n v="5"/>
    <x v="2"/>
    <s v="No"/>
    <x v="1"/>
    <s v="No"/>
    <n v="0"/>
    <n v="0"/>
    <x v="1"/>
  </r>
  <r>
    <n v="3257"/>
    <x v="26"/>
    <x v="0"/>
    <x v="25"/>
    <x v="1"/>
    <n v="15"/>
    <x v="0"/>
    <s v="Yes"/>
    <x v="0"/>
    <s v="Yes"/>
    <n v="20"/>
    <n v="5"/>
    <x v="0"/>
  </r>
  <r>
    <n v="3258"/>
    <x v="27"/>
    <x v="2"/>
    <x v="26"/>
    <x v="0"/>
    <n v="10"/>
    <x v="1"/>
    <s v="No"/>
    <x v="1"/>
    <s v="Yes"/>
    <n v="20"/>
    <n v="15"/>
    <x v="7"/>
  </r>
  <r>
    <n v="3259"/>
    <x v="28"/>
    <x v="1"/>
    <x v="27"/>
    <x v="1"/>
    <n v="5"/>
    <x v="0"/>
    <s v="No"/>
    <x v="1"/>
    <s v="No"/>
    <n v="0"/>
    <n v="1"/>
    <x v="4"/>
  </r>
  <r>
    <n v="3260"/>
    <x v="29"/>
    <x v="0"/>
    <x v="28"/>
    <x v="0"/>
    <n v="15"/>
    <x v="2"/>
    <s v="Yes"/>
    <x v="0"/>
    <s v="Yes"/>
    <n v="20"/>
    <n v="7"/>
    <x v="12"/>
  </r>
  <r>
    <n v="3261"/>
    <x v="30"/>
    <x v="2"/>
    <x v="29"/>
    <x v="1"/>
    <n v="10"/>
    <x v="0"/>
    <s v="No"/>
    <x v="1"/>
    <s v="Yes"/>
    <n v="20"/>
    <n v="10"/>
    <x v="2"/>
  </r>
  <r>
    <n v="3262"/>
    <x v="31"/>
    <x v="1"/>
    <x v="30"/>
    <x v="0"/>
    <n v="5"/>
    <x v="1"/>
    <s v="No"/>
    <x v="1"/>
    <s v="No"/>
    <n v="0"/>
    <n v="0"/>
    <x v="1"/>
  </r>
  <r>
    <n v="3263"/>
    <x v="32"/>
    <x v="0"/>
    <x v="31"/>
    <x v="1"/>
    <n v="15"/>
    <x v="0"/>
    <s v="Yes"/>
    <x v="0"/>
    <s v="Yes"/>
    <n v="20"/>
    <n v="3"/>
    <x v="3"/>
  </r>
  <r>
    <n v="3264"/>
    <x v="33"/>
    <x v="2"/>
    <x v="32"/>
    <x v="0"/>
    <n v="10"/>
    <x v="2"/>
    <s v="No"/>
    <x v="1"/>
    <s v="Yes"/>
    <n v="20"/>
    <n v="15"/>
    <x v="7"/>
  </r>
  <r>
    <n v="3265"/>
    <x v="34"/>
    <x v="1"/>
    <x v="33"/>
    <x v="1"/>
    <n v="5"/>
    <x v="0"/>
    <s v="No"/>
    <x v="1"/>
    <s v="No"/>
    <n v="0"/>
    <n v="1"/>
    <x v="4"/>
  </r>
  <r>
    <n v="3266"/>
    <x v="35"/>
    <x v="1"/>
    <x v="34"/>
    <x v="0"/>
    <n v="5"/>
    <x v="0"/>
    <s v="No"/>
    <x v="1"/>
    <s v="No"/>
    <n v="0"/>
    <n v="0"/>
    <x v="1"/>
  </r>
  <r>
    <n v="3267"/>
    <x v="36"/>
    <x v="0"/>
    <x v="35"/>
    <x v="1"/>
    <n v="15"/>
    <x v="2"/>
    <s v="Yes"/>
    <x v="0"/>
    <s v="Yes"/>
    <n v="20"/>
    <n v="7"/>
    <x v="12"/>
  </r>
  <r>
    <n v="3268"/>
    <x v="37"/>
    <x v="2"/>
    <x v="36"/>
    <x v="0"/>
    <n v="10"/>
    <x v="1"/>
    <s v="No"/>
    <x v="1"/>
    <s v="Yes"/>
    <n v="20"/>
    <n v="10"/>
    <x v="2"/>
  </r>
  <r>
    <n v="3269"/>
    <x v="38"/>
    <x v="1"/>
    <x v="37"/>
    <x v="1"/>
    <n v="5"/>
    <x v="2"/>
    <s v="No"/>
    <x v="1"/>
    <s v="No"/>
    <n v="0"/>
    <n v="1"/>
    <x v="4"/>
  </r>
  <r>
    <n v="3270"/>
    <x v="39"/>
    <x v="0"/>
    <x v="38"/>
    <x v="0"/>
    <n v="15"/>
    <x v="0"/>
    <s v="Yes"/>
    <x v="0"/>
    <s v="Yes"/>
    <n v="20"/>
    <n v="15"/>
    <x v="14"/>
  </r>
  <r>
    <n v="3271"/>
    <x v="40"/>
    <x v="2"/>
    <x v="39"/>
    <x v="1"/>
    <n v="10"/>
    <x v="0"/>
    <s v="No"/>
    <x v="1"/>
    <s v="Yes"/>
    <n v="20"/>
    <n v="5"/>
    <x v="13"/>
  </r>
  <r>
    <n v="3272"/>
    <x v="41"/>
    <x v="1"/>
    <x v="40"/>
    <x v="0"/>
    <n v="5"/>
    <x v="1"/>
    <s v="No"/>
    <x v="1"/>
    <s v="No"/>
    <n v="0"/>
    <n v="0"/>
    <x v="1"/>
  </r>
  <r>
    <n v="3273"/>
    <x v="42"/>
    <x v="0"/>
    <x v="41"/>
    <x v="1"/>
    <n v="15"/>
    <x v="2"/>
    <s v="Yes"/>
    <x v="0"/>
    <s v="Yes"/>
    <n v="20"/>
    <n v="20"/>
    <x v="8"/>
  </r>
  <r>
    <n v="3274"/>
    <x v="43"/>
    <x v="2"/>
    <x v="42"/>
    <x v="0"/>
    <n v="10"/>
    <x v="2"/>
    <s v="No"/>
    <x v="1"/>
    <s v="Yes"/>
    <n v="20"/>
    <n v="12"/>
    <x v="10"/>
  </r>
  <r>
    <n v="3275"/>
    <x v="44"/>
    <x v="1"/>
    <x v="43"/>
    <x v="1"/>
    <n v="5"/>
    <x v="0"/>
    <s v="No"/>
    <x v="1"/>
    <s v="No"/>
    <n v="0"/>
    <n v="2"/>
    <x v="11"/>
  </r>
  <r>
    <n v="3276"/>
    <x v="45"/>
    <x v="0"/>
    <x v="44"/>
    <x v="0"/>
    <n v="15"/>
    <x v="1"/>
    <s v="Yes"/>
    <x v="0"/>
    <s v="Yes"/>
    <n v="20"/>
    <n v="5"/>
    <x v="0"/>
  </r>
  <r>
    <n v="3277"/>
    <x v="46"/>
    <x v="2"/>
    <x v="45"/>
    <x v="1"/>
    <n v="10"/>
    <x v="0"/>
    <s v="No"/>
    <x v="1"/>
    <s v="Yes"/>
    <n v="20"/>
    <n v="10"/>
    <x v="2"/>
  </r>
  <r>
    <n v="3278"/>
    <x v="47"/>
    <x v="1"/>
    <x v="46"/>
    <x v="0"/>
    <n v="5"/>
    <x v="2"/>
    <s v="No"/>
    <x v="1"/>
    <s v="No"/>
    <n v="0"/>
    <n v="0"/>
    <x v="1"/>
  </r>
  <r>
    <n v="3279"/>
    <x v="48"/>
    <x v="0"/>
    <x v="47"/>
    <x v="1"/>
    <n v="15"/>
    <x v="0"/>
    <s v="Yes"/>
    <x v="0"/>
    <s v="Yes"/>
    <n v="20"/>
    <n v="3"/>
    <x v="3"/>
  </r>
  <r>
    <n v="3280"/>
    <x v="49"/>
    <x v="2"/>
    <x v="48"/>
    <x v="0"/>
    <n v="10"/>
    <x v="1"/>
    <s v="No"/>
    <x v="1"/>
    <s v="Yes"/>
    <n v="20"/>
    <n v="15"/>
    <x v="7"/>
  </r>
  <r>
    <n v="3281"/>
    <x v="50"/>
    <x v="1"/>
    <x v="49"/>
    <x v="1"/>
    <n v="5"/>
    <x v="0"/>
    <s v="No"/>
    <x v="1"/>
    <s v="No"/>
    <n v="0"/>
    <n v="1"/>
    <x v="4"/>
  </r>
  <r>
    <n v="3282"/>
    <x v="51"/>
    <x v="0"/>
    <x v="50"/>
    <x v="0"/>
    <n v="15"/>
    <x v="2"/>
    <s v="Yes"/>
    <x v="0"/>
    <s v="Yes"/>
    <n v="20"/>
    <n v="7"/>
    <x v="12"/>
  </r>
  <r>
    <n v="3283"/>
    <x v="52"/>
    <x v="2"/>
    <x v="51"/>
    <x v="1"/>
    <n v="10"/>
    <x v="0"/>
    <s v="No"/>
    <x v="1"/>
    <s v="Yes"/>
    <n v="20"/>
    <n v="10"/>
    <x v="2"/>
  </r>
  <r>
    <n v="3284"/>
    <x v="53"/>
    <x v="1"/>
    <x v="52"/>
    <x v="0"/>
    <n v="5"/>
    <x v="1"/>
    <s v="No"/>
    <x v="1"/>
    <s v="No"/>
    <n v="0"/>
    <n v="0"/>
    <x v="1"/>
  </r>
  <r>
    <n v="3285"/>
    <x v="54"/>
    <x v="0"/>
    <x v="53"/>
    <x v="1"/>
    <n v="15"/>
    <x v="0"/>
    <s v="Yes"/>
    <x v="0"/>
    <s v="Yes"/>
    <n v="20"/>
    <n v="20"/>
    <x v="8"/>
  </r>
  <r>
    <n v="3286"/>
    <x v="55"/>
    <x v="2"/>
    <x v="54"/>
    <x v="0"/>
    <n v="10"/>
    <x v="2"/>
    <s v="No"/>
    <x v="1"/>
    <s v="Yes"/>
    <n v="20"/>
    <n v="15"/>
    <x v="7"/>
  </r>
  <r>
    <n v="3287"/>
    <x v="56"/>
    <x v="1"/>
    <x v="55"/>
    <x v="1"/>
    <n v="5"/>
    <x v="0"/>
    <s v="No"/>
    <x v="1"/>
    <s v="No"/>
    <n v="0"/>
    <n v="1"/>
    <x v="4"/>
  </r>
  <r>
    <n v="3288"/>
    <x v="57"/>
    <x v="0"/>
    <x v="56"/>
    <x v="0"/>
    <n v="15"/>
    <x v="1"/>
    <s v="Yes"/>
    <x v="0"/>
    <s v="Yes"/>
    <n v="20"/>
    <n v="3"/>
    <x v="3"/>
  </r>
  <r>
    <n v="3289"/>
    <x v="58"/>
    <x v="2"/>
    <x v="57"/>
    <x v="1"/>
    <n v="10"/>
    <x v="0"/>
    <s v="No"/>
    <x v="1"/>
    <s v="Yes"/>
    <n v="20"/>
    <n v="10"/>
    <x v="2"/>
  </r>
  <r>
    <n v="3290"/>
    <x v="59"/>
    <x v="1"/>
    <x v="58"/>
    <x v="0"/>
    <n v="5"/>
    <x v="2"/>
    <s v="No"/>
    <x v="1"/>
    <s v="No"/>
    <n v="0"/>
    <n v="0"/>
    <x v="1"/>
  </r>
  <r>
    <n v="3291"/>
    <x v="60"/>
    <x v="0"/>
    <x v="59"/>
    <x v="1"/>
    <n v="15"/>
    <x v="0"/>
    <s v="Yes"/>
    <x v="0"/>
    <s v="Yes"/>
    <n v="20"/>
    <n v="5"/>
    <x v="0"/>
  </r>
  <r>
    <n v="3292"/>
    <x v="61"/>
    <x v="2"/>
    <x v="60"/>
    <x v="0"/>
    <n v="10"/>
    <x v="1"/>
    <s v="No"/>
    <x v="1"/>
    <s v="Yes"/>
    <n v="20"/>
    <n v="15"/>
    <x v="7"/>
  </r>
  <r>
    <n v="3293"/>
    <x v="62"/>
    <x v="1"/>
    <x v="61"/>
    <x v="1"/>
    <n v="5"/>
    <x v="0"/>
    <s v="No"/>
    <x v="1"/>
    <s v="No"/>
    <n v="0"/>
    <n v="1"/>
    <x v="4"/>
  </r>
  <r>
    <n v="3294"/>
    <x v="63"/>
    <x v="0"/>
    <x v="62"/>
    <x v="0"/>
    <n v="15"/>
    <x v="2"/>
    <s v="Yes"/>
    <x v="0"/>
    <s v="Yes"/>
    <n v="20"/>
    <n v="20"/>
    <x v="8"/>
  </r>
  <r>
    <n v="3295"/>
    <x v="64"/>
    <x v="2"/>
    <x v="63"/>
    <x v="1"/>
    <n v="10"/>
    <x v="0"/>
    <s v="No"/>
    <x v="1"/>
    <s v="Yes"/>
    <n v="20"/>
    <n v="5"/>
    <x v="13"/>
  </r>
  <r>
    <n v="3296"/>
    <x v="65"/>
    <x v="1"/>
    <x v="64"/>
    <x v="1"/>
    <n v="5"/>
    <x v="0"/>
    <s v="No"/>
    <x v="1"/>
    <s v="No"/>
    <n v="0"/>
    <n v="0"/>
    <x v="1"/>
  </r>
  <r>
    <n v="3297"/>
    <x v="66"/>
    <x v="0"/>
    <x v="65"/>
    <x v="0"/>
    <n v="15"/>
    <x v="2"/>
    <s v="Yes"/>
    <x v="0"/>
    <s v="Yes"/>
    <n v="20"/>
    <n v="7"/>
    <x v="12"/>
  </r>
  <r>
    <n v="3298"/>
    <x v="67"/>
    <x v="2"/>
    <x v="66"/>
    <x v="1"/>
    <n v="10"/>
    <x v="1"/>
    <s v="No"/>
    <x v="1"/>
    <s v="Yes"/>
    <n v="20"/>
    <n v="10"/>
    <x v="2"/>
  </r>
  <r>
    <n v="3299"/>
    <x v="68"/>
    <x v="1"/>
    <x v="67"/>
    <x v="0"/>
    <n v="5"/>
    <x v="2"/>
    <s v="No"/>
    <x v="1"/>
    <s v="No"/>
    <n v="0"/>
    <n v="1"/>
    <x v="4"/>
  </r>
  <r>
    <n v="3300"/>
    <x v="69"/>
    <x v="0"/>
    <x v="68"/>
    <x v="1"/>
    <n v="15"/>
    <x v="0"/>
    <s v="Yes"/>
    <x v="0"/>
    <s v="Yes"/>
    <n v="20"/>
    <n v="15"/>
    <x v="14"/>
  </r>
  <r>
    <n v="3301"/>
    <x v="70"/>
    <x v="2"/>
    <x v="69"/>
    <x v="0"/>
    <n v="10"/>
    <x v="0"/>
    <s v="No"/>
    <x v="1"/>
    <s v="Yes"/>
    <n v="20"/>
    <n v="5"/>
    <x v="13"/>
  </r>
  <r>
    <n v="3302"/>
    <x v="71"/>
    <x v="1"/>
    <x v="70"/>
    <x v="1"/>
    <n v="5"/>
    <x v="1"/>
    <s v="No"/>
    <x v="1"/>
    <s v="No"/>
    <n v="0"/>
    <n v="0"/>
    <x v="1"/>
  </r>
  <r>
    <n v="3303"/>
    <x v="72"/>
    <x v="0"/>
    <x v="71"/>
    <x v="0"/>
    <n v="15"/>
    <x v="2"/>
    <s v="Yes"/>
    <x v="0"/>
    <s v="Yes"/>
    <n v="20"/>
    <n v="20"/>
    <x v="8"/>
  </r>
  <r>
    <n v="3304"/>
    <x v="73"/>
    <x v="2"/>
    <x v="72"/>
    <x v="1"/>
    <n v="10"/>
    <x v="2"/>
    <s v="No"/>
    <x v="1"/>
    <s v="Yes"/>
    <n v="20"/>
    <n v="12"/>
    <x v="10"/>
  </r>
  <r>
    <n v="3305"/>
    <x v="74"/>
    <x v="1"/>
    <x v="73"/>
    <x v="0"/>
    <n v="5"/>
    <x v="0"/>
    <s v="No"/>
    <x v="1"/>
    <s v="No"/>
    <n v="0"/>
    <n v="2"/>
    <x v="11"/>
  </r>
  <r>
    <n v="3306"/>
    <x v="75"/>
    <x v="0"/>
    <x v="74"/>
    <x v="1"/>
    <n v="15"/>
    <x v="1"/>
    <s v="Yes"/>
    <x v="0"/>
    <s v="Yes"/>
    <n v="20"/>
    <n v="5"/>
    <x v="0"/>
  </r>
  <r>
    <n v="3307"/>
    <x v="76"/>
    <x v="2"/>
    <x v="75"/>
    <x v="0"/>
    <n v="10"/>
    <x v="0"/>
    <s v="No"/>
    <x v="1"/>
    <s v="Yes"/>
    <n v="20"/>
    <n v="10"/>
    <x v="2"/>
  </r>
  <r>
    <n v="3308"/>
    <x v="77"/>
    <x v="1"/>
    <x v="76"/>
    <x v="1"/>
    <n v="5"/>
    <x v="2"/>
    <s v="No"/>
    <x v="1"/>
    <s v="No"/>
    <n v="0"/>
    <n v="0"/>
    <x v="1"/>
  </r>
  <r>
    <n v="3309"/>
    <x v="78"/>
    <x v="0"/>
    <x v="77"/>
    <x v="0"/>
    <n v="15"/>
    <x v="0"/>
    <s v="Yes"/>
    <x v="0"/>
    <s v="Yes"/>
    <n v="20"/>
    <n v="3"/>
    <x v="3"/>
  </r>
  <r>
    <n v="3310"/>
    <x v="79"/>
    <x v="2"/>
    <x v="78"/>
    <x v="1"/>
    <n v="10"/>
    <x v="1"/>
    <s v="No"/>
    <x v="1"/>
    <s v="Yes"/>
    <n v="20"/>
    <n v="15"/>
    <x v="7"/>
  </r>
  <r>
    <n v="3311"/>
    <x v="80"/>
    <x v="1"/>
    <x v="79"/>
    <x v="0"/>
    <n v="5"/>
    <x v="0"/>
    <s v="No"/>
    <x v="1"/>
    <s v="No"/>
    <n v="0"/>
    <n v="1"/>
    <x v="4"/>
  </r>
  <r>
    <n v="3312"/>
    <x v="81"/>
    <x v="0"/>
    <x v="80"/>
    <x v="1"/>
    <n v="15"/>
    <x v="2"/>
    <s v="Yes"/>
    <x v="0"/>
    <s v="Yes"/>
    <n v="20"/>
    <n v="7"/>
    <x v="12"/>
  </r>
  <r>
    <n v="3313"/>
    <x v="82"/>
    <x v="2"/>
    <x v="81"/>
    <x v="0"/>
    <n v="10"/>
    <x v="0"/>
    <s v="No"/>
    <x v="1"/>
    <s v="Yes"/>
    <n v="20"/>
    <n v="10"/>
    <x v="2"/>
  </r>
  <r>
    <n v="3314"/>
    <x v="83"/>
    <x v="1"/>
    <x v="82"/>
    <x v="1"/>
    <n v="5"/>
    <x v="1"/>
    <s v="No"/>
    <x v="1"/>
    <s v="No"/>
    <n v="0"/>
    <n v="0"/>
    <x v="1"/>
  </r>
  <r>
    <n v="3315"/>
    <x v="84"/>
    <x v="0"/>
    <x v="83"/>
    <x v="0"/>
    <n v="15"/>
    <x v="0"/>
    <s v="Yes"/>
    <x v="0"/>
    <s v="Yes"/>
    <n v="20"/>
    <n v="20"/>
    <x v="8"/>
  </r>
  <r>
    <n v="3316"/>
    <x v="85"/>
    <x v="2"/>
    <x v="84"/>
    <x v="1"/>
    <n v="10"/>
    <x v="2"/>
    <s v="No"/>
    <x v="1"/>
    <s v="Yes"/>
    <n v="20"/>
    <n v="15"/>
    <x v="7"/>
  </r>
  <r>
    <n v="3317"/>
    <x v="86"/>
    <x v="1"/>
    <x v="85"/>
    <x v="0"/>
    <n v="5"/>
    <x v="0"/>
    <s v="No"/>
    <x v="1"/>
    <s v="No"/>
    <n v="0"/>
    <n v="1"/>
    <x v="4"/>
  </r>
  <r>
    <n v="3318"/>
    <x v="87"/>
    <x v="0"/>
    <x v="86"/>
    <x v="1"/>
    <n v="15"/>
    <x v="1"/>
    <s v="Yes"/>
    <x v="0"/>
    <s v="Yes"/>
    <n v="20"/>
    <n v="3"/>
    <x v="3"/>
  </r>
  <r>
    <n v="3319"/>
    <x v="88"/>
    <x v="2"/>
    <x v="87"/>
    <x v="0"/>
    <n v="10"/>
    <x v="0"/>
    <s v="No"/>
    <x v="1"/>
    <s v="Yes"/>
    <n v="20"/>
    <n v="10"/>
    <x v="2"/>
  </r>
  <r>
    <n v="3320"/>
    <x v="89"/>
    <x v="1"/>
    <x v="88"/>
    <x v="1"/>
    <n v="5"/>
    <x v="2"/>
    <s v="No"/>
    <x v="1"/>
    <s v="No"/>
    <n v="0"/>
    <n v="0"/>
    <x v="1"/>
  </r>
  <r>
    <n v="3321"/>
    <x v="90"/>
    <x v="0"/>
    <x v="89"/>
    <x v="0"/>
    <n v="15"/>
    <x v="0"/>
    <s v="Yes"/>
    <x v="0"/>
    <s v="Yes"/>
    <n v="20"/>
    <n v="5"/>
    <x v="0"/>
  </r>
  <r>
    <n v="3322"/>
    <x v="91"/>
    <x v="2"/>
    <x v="90"/>
    <x v="1"/>
    <n v="10"/>
    <x v="1"/>
    <s v="No"/>
    <x v="1"/>
    <s v="Yes"/>
    <n v="20"/>
    <n v="15"/>
    <x v="7"/>
  </r>
  <r>
    <n v="3323"/>
    <x v="92"/>
    <x v="1"/>
    <x v="91"/>
    <x v="0"/>
    <n v="5"/>
    <x v="0"/>
    <s v="No"/>
    <x v="1"/>
    <s v="No"/>
    <n v="0"/>
    <n v="1"/>
    <x v="4"/>
  </r>
  <r>
    <n v="3324"/>
    <x v="93"/>
    <x v="0"/>
    <x v="92"/>
    <x v="1"/>
    <n v="15"/>
    <x v="2"/>
    <s v="Yes"/>
    <x v="0"/>
    <s v="Yes"/>
    <n v="20"/>
    <n v="20"/>
    <x v="8"/>
  </r>
  <r>
    <n v="3325"/>
    <x v="94"/>
    <x v="2"/>
    <x v="93"/>
    <x v="0"/>
    <n v="10"/>
    <x v="2"/>
    <s v="No"/>
    <x v="1"/>
    <s v="Yes"/>
    <n v="20"/>
    <n v="15"/>
    <x v="7"/>
  </r>
  <r>
    <n v="3326"/>
    <x v="95"/>
    <x v="1"/>
    <x v="94"/>
    <x v="1"/>
    <n v="5"/>
    <x v="1"/>
    <s v="No"/>
    <x v="1"/>
    <s v="No"/>
    <n v="0"/>
    <n v="0"/>
    <x v="1"/>
  </r>
  <r>
    <n v="3327"/>
    <x v="96"/>
    <x v="0"/>
    <x v="95"/>
    <x v="0"/>
    <n v="15"/>
    <x v="0"/>
    <s v="Yes"/>
    <x v="0"/>
    <s v="Yes"/>
    <n v="20"/>
    <n v="7"/>
    <x v="12"/>
  </r>
  <r>
    <n v="3328"/>
    <x v="97"/>
    <x v="2"/>
    <x v="96"/>
    <x v="1"/>
    <n v="10"/>
    <x v="1"/>
    <s v="No"/>
    <x v="1"/>
    <s v="Yes"/>
    <n v="20"/>
    <n v="10"/>
    <x v="2"/>
  </r>
  <r>
    <n v="3329"/>
    <x v="98"/>
    <x v="1"/>
    <x v="97"/>
    <x v="0"/>
    <n v="5"/>
    <x v="2"/>
    <s v="No"/>
    <x v="1"/>
    <s v="No"/>
    <n v="0"/>
    <n v="1"/>
    <x v="4"/>
  </r>
  <r>
    <n v="3330"/>
    <x v="99"/>
    <x v="0"/>
    <x v="98"/>
    <x v="1"/>
    <n v="15"/>
    <x v="0"/>
    <s v="Yes"/>
    <x v="0"/>
    <s v="Yes"/>
    <n v="20"/>
    <n v="15"/>
    <x v="14"/>
  </r>
  <r>
    <n v="3331"/>
    <x v="100"/>
    <x v="2"/>
    <x v="99"/>
    <x v="0"/>
    <n v="10"/>
    <x v="0"/>
    <s v="No"/>
    <x v="1"/>
    <s v="Yes"/>
    <n v="20"/>
    <n v="5"/>
    <x v="13"/>
  </r>
  <r>
    <n v="3332"/>
    <x v="101"/>
    <x v="1"/>
    <x v="100"/>
    <x v="1"/>
    <n v="5"/>
    <x v="1"/>
    <s v="No"/>
    <x v="1"/>
    <s v="No"/>
    <n v="0"/>
    <n v="0"/>
    <x v="1"/>
  </r>
  <r>
    <n v="3333"/>
    <x v="102"/>
    <x v="0"/>
    <x v="101"/>
    <x v="0"/>
    <n v="15"/>
    <x v="2"/>
    <s v="Yes"/>
    <x v="0"/>
    <s v="Yes"/>
    <n v="20"/>
    <n v="20"/>
    <x v="8"/>
  </r>
  <r>
    <n v="3334"/>
    <x v="103"/>
    <x v="2"/>
    <x v="102"/>
    <x v="1"/>
    <n v="10"/>
    <x v="2"/>
    <s v="No"/>
    <x v="1"/>
    <s v="Yes"/>
    <n v="20"/>
    <n v="12"/>
    <x v="10"/>
  </r>
  <r>
    <n v="3335"/>
    <x v="104"/>
    <x v="1"/>
    <x v="103"/>
    <x v="0"/>
    <n v="5"/>
    <x v="0"/>
    <s v="No"/>
    <x v="1"/>
    <s v="No"/>
    <n v="0"/>
    <n v="2"/>
    <x v="11"/>
  </r>
  <r>
    <n v="3336"/>
    <x v="105"/>
    <x v="1"/>
    <x v="104"/>
    <x v="0"/>
    <n v="5"/>
    <x v="0"/>
    <s v="No"/>
    <x v="1"/>
    <s v="No"/>
    <n v="0"/>
    <n v="0"/>
    <x v="1"/>
  </r>
  <r>
    <n v="3337"/>
    <x v="106"/>
    <x v="0"/>
    <x v="105"/>
    <x v="1"/>
    <n v="15"/>
    <x v="2"/>
    <s v="Yes"/>
    <x v="0"/>
    <s v="Yes"/>
    <n v="20"/>
    <n v="7"/>
    <x v="12"/>
  </r>
  <r>
    <n v="3338"/>
    <x v="107"/>
    <x v="2"/>
    <x v="106"/>
    <x v="0"/>
    <n v="10"/>
    <x v="1"/>
    <s v="No"/>
    <x v="1"/>
    <s v="Yes"/>
    <n v="20"/>
    <n v="10"/>
    <x v="2"/>
  </r>
  <r>
    <n v="3339"/>
    <x v="108"/>
    <x v="1"/>
    <x v="107"/>
    <x v="1"/>
    <n v="5"/>
    <x v="2"/>
    <s v="No"/>
    <x v="1"/>
    <s v="No"/>
    <n v="0"/>
    <n v="1"/>
    <x v="4"/>
  </r>
  <r>
    <n v="3340"/>
    <x v="109"/>
    <x v="0"/>
    <x v="108"/>
    <x v="0"/>
    <n v="15"/>
    <x v="0"/>
    <s v="Yes"/>
    <x v="0"/>
    <s v="Yes"/>
    <n v="20"/>
    <n v="15"/>
    <x v="14"/>
  </r>
  <r>
    <n v="3341"/>
    <x v="110"/>
    <x v="2"/>
    <x v="109"/>
    <x v="1"/>
    <n v="10"/>
    <x v="0"/>
    <s v="No"/>
    <x v="1"/>
    <s v="Yes"/>
    <n v="20"/>
    <n v="5"/>
    <x v="13"/>
  </r>
  <r>
    <n v="3342"/>
    <x v="111"/>
    <x v="1"/>
    <x v="110"/>
    <x v="0"/>
    <n v="5"/>
    <x v="1"/>
    <s v="No"/>
    <x v="1"/>
    <s v="No"/>
    <n v="0"/>
    <n v="0"/>
    <x v="1"/>
  </r>
  <r>
    <n v="3343"/>
    <x v="112"/>
    <x v="0"/>
    <x v="111"/>
    <x v="1"/>
    <n v="15"/>
    <x v="2"/>
    <s v="Yes"/>
    <x v="0"/>
    <s v="Yes"/>
    <n v="20"/>
    <n v="20"/>
    <x v="8"/>
  </r>
  <r>
    <n v="3344"/>
    <x v="113"/>
    <x v="2"/>
    <x v="112"/>
    <x v="0"/>
    <n v="10"/>
    <x v="2"/>
    <s v="No"/>
    <x v="1"/>
    <s v="Yes"/>
    <n v="20"/>
    <n v="12"/>
    <x v="10"/>
  </r>
  <r>
    <n v="3345"/>
    <x v="114"/>
    <x v="1"/>
    <x v="113"/>
    <x v="1"/>
    <n v="5"/>
    <x v="0"/>
    <s v="No"/>
    <x v="1"/>
    <s v="No"/>
    <n v="0"/>
    <n v="2"/>
    <x v="11"/>
  </r>
  <r>
    <n v="3346"/>
    <x v="115"/>
    <x v="0"/>
    <x v="114"/>
    <x v="0"/>
    <n v="15"/>
    <x v="1"/>
    <s v="Yes"/>
    <x v="0"/>
    <s v="Yes"/>
    <n v="20"/>
    <n v="5"/>
    <x v="0"/>
  </r>
  <r>
    <n v="3347"/>
    <x v="116"/>
    <x v="2"/>
    <x v="115"/>
    <x v="1"/>
    <n v="10"/>
    <x v="0"/>
    <s v="No"/>
    <x v="1"/>
    <s v="Yes"/>
    <n v="20"/>
    <n v="10"/>
    <x v="2"/>
  </r>
  <r>
    <n v="3348"/>
    <x v="117"/>
    <x v="1"/>
    <x v="116"/>
    <x v="0"/>
    <n v="5"/>
    <x v="2"/>
    <s v="No"/>
    <x v="1"/>
    <s v="No"/>
    <n v="0"/>
    <n v="0"/>
    <x v="1"/>
  </r>
  <r>
    <n v="3349"/>
    <x v="93"/>
    <x v="0"/>
    <x v="117"/>
    <x v="1"/>
    <n v="15"/>
    <x v="0"/>
    <s v="Yes"/>
    <x v="0"/>
    <s v="Yes"/>
    <n v="20"/>
    <n v="3"/>
    <x v="3"/>
  </r>
  <r>
    <n v="3350"/>
    <x v="118"/>
    <x v="2"/>
    <x v="118"/>
    <x v="0"/>
    <n v="10"/>
    <x v="1"/>
    <s v="No"/>
    <x v="1"/>
    <s v="Yes"/>
    <n v="20"/>
    <n v="15"/>
    <x v="7"/>
  </r>
  <r>
    <n v="3351"/>
    <x v="119"/>
    <x v="1"/>
    <x v="119"/>
    <x v="1"/>
    <n v="5"/>
    <x v="0"/>
    <s v="No"/>
    <x v="1"/>
    <s v="No"/>
    <n v="0"/>
    <n v="1"/>
    <x v="4"/>
  </r>
  <r>
    <n v="3352"/>
    <x v="120"/>
    <x v="0"/>
    <x v="120"/>
    <x v="0"/>
    <n v="15"/>
    <x v="2"/>
    <s v="Yes"/>
    <x v="0"/>
    <s v="Yes"/>
    <n v="20"/>
    <n v="7"/>
    <x v="12"/>
  </r>
  <r>
    <n v="3353"/>
    <x v="121"/>
    <x v="2"/>
    <x v="121"/>
    <x v="1"/>
    <n v="10"/>
    <x v="0"/>
    <s v="No"/>
    <x v="1"/>
    <s v="Yes"/>
    <n v="20"/>
    <n v="10"/>
    <x v="2"/>
  </r>
  <r>
    <n v="3354"/>
    <x v="122"/>
    <x v="1"/>
    <x v="122"/>
    <x v="0"/>
    <n v="5"/>
    <x v="1"/>
    <s v="No"/>
    <x v="1"/>
    <s v="No"/>
    <n v="0"/>
    <n v="0"/>
    <x v="1"/>
  </r>
  <r>
    <n v="3355"/>
    <x v="123"/>
    <x v="0"/>
    <x v="123"/>
    <x v="1"/>
    <n v="15"/>
    <x v="0"/>
    <s v="Yes"/>
    <x v="0"/>
    <s v="Yes"/>
    <n v="20"/>
    <n v="20"/>
    <x v="8"/>
  </r>
  <r>
    <n v="3356"/>
    <x v="124"/>
    <x v="2"/>
    <x v="124"/>
    <x v="0"/>
    <n v="10"/>
    <x v="2"/>
    <s v="No"/>
    <x v="1"/>
    <s v="Yes"/>
    <n v="20"/>
    <n v="15"/>
    <x v="7"/>
  </r>
  <r>
    <n v="3357"/>
    <x v="125"/>
    <x v="1"/>
    <x v="125"/>
    <x v="1"/>
    <n v="5"/>
    <x v="0"/>
    <s v="No"/>
    <x v="1"/>
    <s v="No"/>
    <n v="0"/>
    <n v="1"/>
    <x v="4"/>
  </r>
  <r>
    <n v="3358"/>
    <x v="126"/>
    <x v="0"/>
    <x v="126"/>
    <x v="0"/>
    <n v="15"/>
    <x v="1"/>
    <s v="Yes"/>
    <x v="0"/>
    <s v="Yes"/>
    <n v="20"/>
    <n v="3"/>
    <x v="3"/>
  </r>
  <r>
    <n v="3359"/>
    <x v="127"/>
    <x v="2"/>
    <x v="127"/>
    <x v="1"/>
    <n v="10"/>
    <x v="0"/>
    <s v="No"/>
    <x v="1"/>
    <s v="Yes"/>
    <n v="20"/>
    <n v="10"/>
    <x v="2"/>
  </r>
  <r>
    <n v="3360"/>
    <x v="128"/>
    <x v="1"/>
    <x v="128"/>
    <x v="0"/>
    <n v="5"/>
    <x v="2"/>
    <s v="No"/>
    <x v="1"/>
    <s v="No"/>
    <n v="0"/>
    <n v="0"/>
    <x v="1"/>
  </r>
  <r>
    <n v="3361"/>
    <x v="129"/>
    <x v="0"/>
    <x v="129"/>
    <x v="1"/>
    <n v="15"/>
    <x v="0"/>
    <s v="Yes"/>
    <x v="0"/>
    <s v="Yes"/>
    <n v="20"/>
    <n v="15"/>
    <x v="14"/>
  </r>
  <r>
    <n v="3362"/>
    <x v="130"/>
    <x v="2"/>
    <x v="130"/>
    <x v="0"/>
    <n v="10"/>
    <x v="1"/>
    <s v="No"/>
    <x v="1"/>
    <s v="Yes"/>
    <n v="20"/>
    <n v="15"/>
    <x v="7"/>
  </r>
  <r>
    <n v="3363"/>
    <x v="131"/>
    <x v="1"/>
    <x v="131"/>
    <x v="1"/>
    <n v="5"/>
    <x v="0"/>
    <s v="No"/>
    <x v="1"/>
    <s v="No"/>
    <n v="0"/>
    <n v="1"/>
    <x v="4"/>
  </r>
  <r>
    <n v="3364"/>
    <x v="132"/>
    <x v="0"/>
    <x v="132"/>
    <x v="0"/>
    <n v="15"/>
    <x v="2"/>
    <s v="Yes"/>
    <x v="0"/>
    <s v="Yes"/>
    <n v="20"/>
    <n v="7"/>
    <x v="12"/>
  </r>
  <r>
    <n v="3365"/>
    <x v="133"/>
    <x v="2"/>
    <x v="133"/>
    <x v="1"/>
    <n v="10"/>
    <x v="0"/>
    <s v="No"/>
    <x v="1"/>
    <s v="Yes"/>
    <n v="20"/>
    <n v="10"/>
    <x v="2"/>
  </r>
  <r>
    <n v="3366"/>
    <x v="134"/>
    <x v="1"/>
    <x v="134"/>
    <x v="0"/>
    <n v="5"/>
    <x v="0"/>
    <s v="No"/>
    <x v="1"/>
    <s v="No"/>
    <n v="0"/>
    <n v="0"/>
    <x v="1"/>
  </r>
  <r>
    <n v="3367"/>
    <x v="135"/>
    <x v="0"/>
    <x v="135"/>
    <x v="1"/>
    <n v="15"/>
    <x v="2"/>
    <s v="Yes"/>
    <x v="0"/>
    <s v="Yes"/>
    <n v="20"/>
    <n v="7"/>
    <x v="12"/>
  </r>
  <r>
    <n v="3368"/>
    <x v="136"/>
    <x v="2"/>
    <x v="136"/>
    <x v="0"/>
    <n v="10"/>
    <x v="1"/>
    <s v="No"/>
    <x v="1"/>
    <s v="Yes"/>
    <n v="20"/>
    <n v="10"/>
    <x v="2"/>
  </r>
  <r>
    <n v="3369"/>
    <x v="137"/>
    <x v="1"/>
    <x v="137"/>
    <x v="1"/>
    <n v="5"/>
    <x v="2"/>
    <s v="No"/>
    <x v="1"/>
    <s v="No"/>
    <n v="0"/>
    <n v="1"/>
    <x v="4"/>
  </r>
  <r>
    <n v="3370"/>
    <x v="138"/>
    <x v="0"/>
    <x v="138"/>
    <x v="0"/>
    <n v="15"/>
    <x v="0"/>
    <s v="Yes"/>
    <x v="0"/>
    <s v="Yes"/>
    <n v="20"/>
    <n v="15"/>
    <x v="14"/>
  </r>
  <r>
    <n v="3371"/>
    <x v="139"/>
    <x v="2"/>
    <x v="139"/>
    <x v="1"/>
    <n v="10"/>
    <x v="0"/>
    <s v="No"/>
    <x v="1"/>
    <s v="Yes"/>
    <n v="20"/>
    <n v="5"/>
    <x v="13"/>
  </r>
  <r>
    <n v="3372"/>
    <x v="140"/>
    <x v="1"/>
    <x v="140"/>
    <x v="0"/>
    <n v="5"/>
    <x v="1"/>
    <s v="No"/>
    <x v="1"/>
    <s v="No"/>
    <n v="0"/>
    <n v="0"/>
    <x v="1"/>
  </r>
  <r>
    <n v="3373"/>
    <x v="141"/>
    <x v="0"/>
    <x v="141"/>
    <x v="1"/>
    <n v="15"/>
    <x v="2"/>
    <s v="Yes"/>
    <x v="0"/>
    <s v="Yes"/>
    <n v="20"/>
    <n v="20"/>
    <x v="8"/>
  </r>
  <r>
    <n v="3374"/>
    <x v="142"/>
    <x v="2"/>
    <x v="142"/>
    <x v="0"/>
    <n v="10"/>
    <x v="2"/>
    <s v="No"/>
    <x v="1"/>
    <s v="Yes"/>
    <n v="20"/>
    <n v="12"/>
    <x v="10"/>
  </r>
  <r>
    <n v="3375"/>
    <x v="143"/>
    <x v="1"/>
    <x v="143"/>
    <x v="1"/>
    <n v="5"/>
    <x v="0"/>
    <s v="No"/>
    <x v="1"/>
    <s v="No"/>
    <n v="0"/>
    <n v="2"/>
    <x v="11"/>
  </r>
  <r>
    <n v="3376"/>
    <x v="144"/>
    <x v="0"/>
    <x v="144"/>
    <x v="0"/>
    <n v="15"/>
    <x v="1"/>
    <s v="Yes"/>
    <x v="0"/>
    <s v="Yes"/>
    <n v="20"/>
    <n v="5"/>
    <x v="0"/>
  </r>
  <r>
    <n v="3377"/>
    <x v="145"/>
    <x v="2"/>
    <x v="145"/>
    <x v="1"/>
    <n v="10"/>
    <x v="0"/>
    <s v="No"/>
    <x v="1"/>
    <s v="Yes"/>
    <n v="20"/>
    <n v="10"/>
    <x v="2"/>
  </r>
  <r>
    <n v="3378"/>
    <x v="146"/>
    <x v="1"/>
    <x v="146"/>
    <x v="0"/>
    <n v="5"/>
    <x v="2"/>
    <s v="No"/>
    <x v="1"/>
    <s v="No"/>
    <n v="0"/>
    <n v="0"/>
    <x v="1"/>
  </r>
  <r>
    <n v="3379"/>
    <x v="147"/>
    <x v="0"/>
    <x v="147"/>
    <x v="1"/>
    <n v="15"/>
    <x v="0"/>
    <s v="Yes"/>
    <x v="0"/>
    <s v="Yes"/>
    <n v="20"/>
    <n v="3"/>
    <x v="3"/>
  </r>
  <r>
    <n v="3380"/>
    <x v="148"/>
    <x v="2"/>
    <x v="148"/>
    <x v="0"/>
    <n v="10"/>
    <x v="1"/>
    <s v="No"/>
    <x v="1"/>
    <s v="Yes"/>
    <n v="20"/>
    <n v="15"/>
    <x v="7"/>
  </r>
  <r>
    <n v="3381"/>
    <x v="149"/>
    <x v="1"/>
    <x v="149"/>
    <x v="1"/>
    <n v="5"/>
    <x v="0"/>
    <s v="No"/>
    <x v="1"/>
    <s v="No"/>
    <n v="0"/>
    <n v="1"/>
    <x v="4"/>
  </r>
  <r>
    <n v="3382"/>
    <x v="150"/>
    <x v="0"/>
    <x v="150"/>
    <x v="0"/>
    <n v="15"/>
    <x v="2"/>
    <s v="Yes"/>
    <x v="0"/>
    <s v="Yes"/>
    <n v="20"/>
    <n v="7"/>
    <x v="12"/>
  </r>
  <r>
    <n v="3383"/>
    <x v="151"/>
    <x v="2"/>
    <x v="151"/>
    <x v="1"/>
    <n v="10"/>
    <x v="0"/>
    <s v="No"/>
    <x v="1"/>
    <s v="Yes"/>
    <n v="20"/>
    <n v="10"/>
    <x v="2"/>
  </r>
  <r>
    <n v="3384"/>
    <x v="152"/>
    <x v="1"/>
    <x v="152"/>
    <x v="0"/>
    <n v="5"/>
    <x v="1"/>
    <s v="No"/>
    <x v="1"/>
    <s v="No"/>
    <n v="0"/>
    <n v="0"/>
    <x v="1"/>
  </r>
  <r>
    <n v="3385"/>
    <x v="153"/>
    <x v="0"/>
    <x v="153"/>
    <x v="1"/>
    <n v="15"/>
    <x v="0"/>
    <s v="Yes"/>
    <x v="0"/>
    <s v="Yes"/>
    <n v="20"/>
    <n v="20"/>
    <x v="8"/>
  </r>
  <r>
    <n v="3386"/>
    <x v="154"/>
    <x v="2"/>
    <x v="154"/>
    <x v="0"/>
    <n v="10"/>
    <x v="2"/>
    <s v="No"/>
    <x v="1"/>
    <s v="Yes"/>
    <n v="20"/>
    <n v="15"/>
    <x v="7"/>
  </r>
  <r>
    <n v="3387"/>
    <x v="155"/>
    <x v="1"/>
    <x v="155"/>
    <x v="1"/>
    <n v="5"/>
    <x v="0"/>
    <s v="No"/>
    <x v="1"/>
    <s v="No"/>
    <n v="0"/>
    <n v="1"/>
    <x v="4"/>
  </r>
  <r>
    <n v="3388"/>
    <x v="156"/>
    <x v="0"/>
    <x v="156"/>
    <x v="0"/>
    <n v="15"/>
    <x v="1"/>
    <s v="Yes"/>
    <x v="0"/>
    <s v="Yes"/>
    <n v="20"/>
    <n v="3"/>
    <x v="3"/>
  </r>
  <r>
    <n v="3389"/>
    <x v="157"/>
    <x v="2"/>
    <x v="157"/>
    <x v="1"/>
    <n v="10"/>
    <x v="0"/>
    <s v="No"/>
    <x v="1"/>
    <s v="Yes"/>
    <n v="20"/>
    <n v="10"/>
    <x v="2"/>
  </r>
  <r>
    <n v="3390"/>
    <x v="158"/>
    <x v="1"/>
    <x v="158"/>
    <x v="0"/>
    <n v="5"/>
    <x v="2"/>
    <s v="No"/>
    <x v="1"/>
    <s v="No"/>
    <n v="0"/>
    <n v="0"/>
    <x v="1"/>
  </r>
  <r>
    <n v="3391"/>
    <x v="58"/>
    <x v="0"/>
    <x v="159"/>
    <x v="1"/>
    <n v="15"/>
    <x v="0"/>
    <s v="Yes"/>
    <x v="0"/>
    <s v="Yes"/>
    <n v="20"/>
    <n v="15"/>
    <x v="14"/>
  </r>
  <r>
    <n v="3392"/>
    <x v="159"/>
    <x v="2"/>
    <x v="160"/>
    <x v="0"/>
    <n v="10"/>
    <x v="1"/>
    <s v="No"/>
    <x v="1"/>
    <s v="Yes"/>
    <n v="20"/>
    <n v="15"/>
    <x v="7"/>
  </r>
  <r>
    <n v="3393"/>
    <x v="160"/>
    <x v="1"/>
    <x v="161"/>
    <x v="1"/>
    <n v="5"/>
    <x v="0"/>
    <s v="No"/>
    <x v="1"/>
    <s v="No"/>
    <n v="0"/>
    <n v="1"/>
    <x v="4"/>
  </r>
  <r>
    <n v="3394"/>
    <x v="161"/>
    <x v="0"/>
    <x v="162"/>
    <x v="0"/>
    <n v="15"/>
    <x v="2"/>
    <s v="Yes"/>
    <x v="0"/>
    <s v="Yes"/>
    <n v="20"/>
    <n v="7"/>
    <x v="12"/>
  </r>
  <r>
    <n v="3395"/>
    <x v="162"/>
    <x v="2"/>
    <x v="163"/>
    <x v="1"/>
    <n v="10"/>
    <x v="0"/>
    <s v="No"/>
    <x v="1"/>
    <s v="Yes"/>
    <n v="20"/>
    <n v="10"/>
    <x v="2"/>
  </r>
  <r>
    <n v="3396"/>
    <x v="163"/>
    <x v="1"/>
    <x v="164"/>
    <x v="0"/>
    <n v="5"/>
    <x v="1"/>
    <s v="No"/>
    <x v="1"/>
    <s v="No"/>
    <n v="0"/>
    <n v="0"/>
    <x v="1"/>
  </r>
  <r>
    <n v="3397"/>
    <x v="90"/>
    <x v="0"/>
    <x v="165"/>
    <x v="1"/>
    <n v="15"/>
    <x v="0"/>
    <s v="Yes"/>
    <x v="0"/>
    <s v="Yes"/>
    <n v="20"/>
    <n v="20"/>
    <x v="8"/>
  </r>
  <r>
    <n v="3398"/>
    <x v="164"/>
    <x v="2"/>
    <x v="166"/>
    <x v="0"/>
    <n v="10"/>
    <x v="2"/>
    <s v="No"/>
    <x v="1"/>
    <s v="Yes"/>
    <n v="20"/>
    <n v="15"/>
    <x v="7"/>
  </r>
  <r>
    <n v="3399"/>
    <x v="165"/>
    <x v="1"/>
    <x v="167"/>
    <x v="1"/>
    <n v="5"/>
    <x v="0"/>
    <s v="No"/>
    <x v="1"/>
    <s v="No"/>
    <n v="0"/>
    <n v="1"/>
    <x v="4"/>
  </r>
  <r>
    <n v="3400"/>
    <x v="166"/>
    <x v="0"/>
    <x v="168"/>
    <x v="0"/>
    <n v="15"/>
    <x v="1"/>
    <s v="Yes"/>
    <x v="0"/>
    <s v="Yes"/>
    <n v="20"/>
    <n v="5"/>
    <x v="0"/>
  </r>
  <r>
    <n v="3401"/>
    <x v="167"/>
    <x v="2"/>
    <x v="169"/>
    <x v="1"/>
    <n v="10"/>
    <x v="0"/>
    <s v="No"/>
    <x v="1"/>
    <s v="Yes"/>
    <n v="20"/>
    <n v="10"/>
    <x v="2"/>
  </r>
  <r>
    <n v="3402"/>
    <x v="168"/>
    <x v="1"/>
    <x v="170"/>
    <x v="0"/>
    <n v="5"/>
    <x v="2"/>
    <s v="No"/>
    <x v="1"/>
    <s v="No"/>
    <n v="0"/>
    <n v="0"/>
    <x v="1"/>
  </r>
  <r>
    <n v="3403"/>
    <x v="169"/>
    <x v="0"/>
    <x v="171"/>
    <x v="1"/>
    <n v="15"/>
    <x v="0"/>
    <s v="Yes"/>
    <x v="0"/>
    <s v="Yes"/>
    <n v="20"/>
    <n v="3"/>
    <x v="3"/>
  </r>
  <r>
    <n v="3404"/>
    <x v="170"/>
    <x v="2"/>
    <x v="172"/>
    <x v="0"/>
    <n v="10"/>
    <x v="1"/>
    <s v="No"/>
    <x v="1"/>
    <s v="Yes"/>
    <n v="20"/>
    <n v="15"/>
    <x v="7"/>
  </r>
  <r>
    <n v="3405"/>
    <x v="171"/>
    <x v="1"/>
    <x v="173"/>
    <x v="1"/>
    <n v="5"/>
    <x v="0"/>
    <s v="No"/>
    <x v="1"/>
    <s v="No"/>
    <n v="0"/>
    <n v="1"/>
    <x v="4"/>
  </r>
  <r>
    <n v="3406"/>
    <x v="172"/>
    <x v="1"/>
    <x v="174"/>
    <x v="0"/>
    <n v="5"/>
    <x v="0"/>
    <s v="No"/>
    <x v="1"/>
    <s v="No"/>
    <n v="0"/>
    <n v="0"/>
    <x v="1"/>
  </r>
  <r>
    <n v="3407"/>
    <x v="173"/>
    <x v="0"/>
    <x v="175"/>
    <x v="1"/>
    <n v="15"/>
    <x v="2"/>
    <s v="Yes"/>
    <x v="0"/>
    <s v="Yes"/>
    <n v="20"/>
    <n v="7"/>
    <x v="12"/>
  </r>
  <r>
    <n v="3408"/>
    <x v="174"/>
    <x v="2"/>
    <x v="176"/>
    <x v="0"/>
    <n v="10"/>
    <x v="1"/>
    <s v="No"/>
    <x v="1"/>
    <s v="Yes"/>
    <n v="20"/>
    <n v="10"/>
    <x v="2"/>
  </r>
  <r>
    <n v="3409"/>
    <x v="175"/>
    <x v="1"/>
    <x v="177"/>
    <x v="1"/>
    <n v="5"/>
    <x v="2"/>
    <s v="No"/>
    <x v="1"/>
    <s v="No"/>
    <n v="0"/>
    <n v="1"/>
    <x v="4"/>
  </r>
  <r>
    <n v="3410"/>
    <x v="176"/>
    <x v="0"/>
    <x v="178"/>
    <x v="0"/>
    <n v="15"/>
    <x v="0"/>
    <s v="Yes"/>
    <x v="0"/>
    <s v="Yes"/>
    <n v="20"/>
    <n v="15"/>
    <x v="14"/>
  </r>
  <r>
    <n v="3411"/>
    <x v="177"/>
    <x v="2"/>
    <x v="179"/>
    <x v="1"/>
    <n v="10"/>
    <x v="0"/>
    <s v="No"/>
    <x v="1"/>
    <s v="Yes"/>
    <n v="20"/>
    <n v="5"/>
    <x v="13"/>
  </r>
  <r>
    <n v="3412"/>
    <x v="178"/>
    <x v="1"/>
    <x v="180"/>
    <x v="0"/>
    <n v="5"/>
    <x v="1"/>
    <s v="No"/>
    <x v="1"/>
    <s v="No"/>
    <n v="0"/>
    <n v="0"/>
    <x v="1"/>
  </r>
  <r>
    <n v="3413"/>
    <x v="179"/>
    <x v="0"/>
    <x v="181"/>
    <x v="1"/>
    <n v="15"/>
    <x v="2"/>
    <s v="Yes"/>
    <x v="0"/>
    <s v="Yes"/>
    <n v="20"/>
    <n v="20"/>
    <x v="8"/>
  </r>
  <r>
    <n v="3414"/>
    <x v="180"/>
    <x v="2"/>
    <x v="182"/>
    <x v="0"/>
    <n v="10"/>
    <x v="2"/>
    <s v="No"/>
    <x v="1"/>
    <s v="Yes"/>
    <n v="20"/>
    <n v="12"/>
    <x v="10"/>
  </r>
  <r>
    <n v="3415"/>
    <x v="181"/>
    <x v="1"/>
    <x v="183"/>
    <x v="1"/>
    <n v="5"/>
    <x v="0"/>
    <s v="No"/>
    <x v="1"/>
    <s v="No"/>
    <n v="0"/>
    <n v="2"/>
    <x v="11"/>
  </r>
  <r>
    <n v="3416"/>
    <x v="182"/>
    <x v="0"/>
    <x v="184"/>
    <x v="0"/>
    <n v="15"/>
    <x v="1"/>
    <s v="Yes"/>
    <x v="0"/>
    <s v="Yes"/>
    <n v="20"/>
    <n v="5"/>
    <x v="0"/>
  </r>
  <r>
    <n v="3417"/>
    <x v="183"/>
    <x v="2"/>
    <x v="185"/>
    <x v="1"/>
    <n v="10"/>
    <x v="0"/>
    <s v="No"/>
    <x v="1"/>
    <s v="Yes"/>
    <n v="20"/>
    <n v="10"/>
    <x v="2"/>
  </r>
  <r>
    <n v="3418"/>
    <x v="184"/>
    <x v="1"/>
    <x v="186"/>
    <x v="0"/>
    <n v="5"/>
    <x v="2"/>
    <s v="No"/>
    <x v="1"/>
    <s v="No"/>
    <n v="0"/>
    <n v="0"/>
    <x v="1"/>
  </r>
  <r>
    <n v="3419"/>
    <x v="185"/>
    <x v="0"/>
    <x v="187"/>
    <x v="1"/>
    <n v="15"/>
    <x v="0"/>
    <s v="Yes"/>
    <x v="0"/>
    <s v="Yes"/>
    <n v="20"/>
    <n v="3"/>
    <x v="3"/>
  </r>
  <r>
    <n v="3420"/>
    <x v="186"/>
    <x v="2"/>
    <x v="188"/>
    <x v="0"/>
    <n v="10"/>
    <x v="1"/>
    <s v="No"/>
    <x v="1"/>
    <s v="Yes"/>
    <n v="20"/>
    <n v="15"/>
    <x v="7"/>
  </r>
  <r>
    <n v="3421"/>
    <x v="15"/>
    <x v="1"/>
    <x v="189"/>
    <x v="1"/>
    <n v="5"/>
    <x v="0"/>
    <s v="No"/>
    <x v="1"/>
    <s v="No"/>
    <n v="0"/>
    <n v="1"/>
    <x v="4"/>
  </r>
  <r>
    <n v="3422"/>
    <x v="187"/>
    <x v="0"/>
    <x v="190"/>
    <x v="0"/>
    <n v="15"/>
    <x v="2"/>
    <s v="Yes"/>
    <x v="0"/>
    <s v="Yes"/>
    <n v="20"/>
    <n v="7"/>
    <x v="12"/>
  </r>
  <r>
    <n v="3423"/>
    <x v="188"/>
    <x v="2"/>
    <x v="191"/>
    <x v="1"/>
    <n v="10"/>
    <x v="0"/>
    <s v="No"/>
    <x v="1"/>
    <s v="Yes"/>
    <n v="20"/>
    <n v="10"/>
    <x v="2"/>
  </r>
  <r>
    <n v="3424"/>
    <x v="14"/>
    <x v="1"/>
    <x v="192"/>
    <x v="0"/>
    <n v="5"/>
    <x v="1"/>
    <s v="No"/>
    <x v="1"/>
    <s v="No"/>
    <n v="0"/>
    <n v="0"/>
    <x v="1"/>
  </r>
  <r>
    <n v="3425"/>
    <x v="189"/>
    <x v="0"/>
    <x v="193"/>
    <x v="1"/>
    <n v="15"/>
    <x v="0"/>
    <s v="Yes"/>
    <x v="0"/>
    <s v="Yes"/>
    <n v="20"/>
    <n v="20"/>
    <x v="8"/>
  </r>
  <r>
    <n v="3426"/>
    <x v="167"/>
    <x v="2"/>
    <x v="194"/>
    <x v="0"/>
    <n v="10"/>
    <x v="2"/>
    <s v="No"/>
    <x v="1"/>
    <s v="Yes"/>
    <n v="20"/>
    <n v="15"/>
    <x v="7"/>
  </r>
  <r>
    <n v="3427"/>
    <x v="190"/>
    <x v="1"/>
    <x v="195"/>
    <x v="1"/>
    <n v="5"/>
    <x v="0"/>
    <s v="No"/>
    <x v="1"/>
    <s v="No"/>
    <n v="0"/>
    <n v="1"/>
    <x v="4"/>
  </r>
  <r>
    <n v="3428"/>
    <x v="191"/>
    <x v="0"/>
    <x v="196"/>
    <x v="0"/>
    <n v="15"/>
    <x v="1"/>
    <s v="Yes"/>
    <x v="0"/>
    <s v="Yes"/>
    <n v="20"/>
    <n v="3"/>
    <x v="3"/>
  </r>
  <r>
    <n v="3429"/>
    <x v="192"/>
    <x v="2"/>
    <x v="197"/>
    <x v="1"/>
    <n v="10"/>
    <x v="0"/>
    <s v="No"/>
    <x v="1"/>
    <s v="Yes"/>
    <n v="20"/>
    <n v="10"/>
    <x v="2"/>
  </r>
  <r>
    <n v="3430"/>
    <x v="193"/>
    <x v="1"/>
    <x v="198"/>
    <x v="0"/>
    <n v="5"/>
    <x v="2"/>
    <s v="No"/>
    <x v="1"/>
    <s v="No"/>
    <n v="0"/>
    <n v="0"/>
    <x v="1"/>
  </r>
  <r>
    <n v="3431"/>
    <x v="194"/>
    <x v="0"/>
    <x v="199"/>
    <x v="1"/>
    <n v="15"/>
    <x v="0"/>
    <s v="Yes"/>
    <x v="0"/>
    <s v="Yes"/>
    <n v="20"/>
    <n v="15"/>
    <x v="14"/>
  </r>
  <r>
    <n v="3432"/>
    <x v="195"/>
    <x v="2"/>
    <x v="200"/>
    <x v="0"/>
    <n v="10"/>
    <x v="1"/>
    <s v="No"/>
    <x v="1"/>
    <s v="Yes"/>
    <n v="20"/>
    <n v="15"/>
    <x v="7"/>
  </r>
  <r>
    <n v="3433"/>
    <x v="196"/>
    <x v="1"/>
    <x v="201"/>
    <x v="1"/>
    <n v="5"/>
    <x v="0"/>
    <s v="No"/>
    <x v="1"/>
    <s v="No"/>
    <n v="0"/>
    <n v="1"/>
    <x v="4"/>
  </r>
  <r>
    <n v="3434"/>
    <x v="197"/>
    <x v="0"/>
    <x v="202"/>
    <x v="0"/>
    <n v="15"/>
    <x v="2"/>
    <s v="Yes"/>
    <x v="0"/>
    <s v="Yes"/>
    <n v="20"/>
    <n v="7"/>
    <x v="12"/>
  </r>
  <r>
    <n v="3435"/>
    <x v="198"/>
    <x v="2"/>
    <x v="203"/>
    <x v="1"/>
    <n v="10"/>
    <x v="0"/>
    <s v="No"/>
    <x v="1"/>
    <s v="Yes"/>
    <n v="20"/>
    <n v="10"/>
    <x v="2"/>
  </r>
  <r>
    <n v="3436"/>
    <x v="199"/>
    <x v="1"/>
    <x v="204"/>
    <x v="0"/>
    <n v="5"/>
    <x v="0"/>
    <s v="No"/>
    <x v="1"/>
    <s v="No"/>
    <n v="0"/>
    <n v="0"/>
    <x v="1"/>
  </r>
  <r>
    <n v="3437"/>
    <x v="200"/>
    <x v="0"/>
    <x v="205"/>
    <x v="1"/>
    <n v="15"/>
    <x v="2"/>
    <s v="Yes"/>
    <x v="0"/>
    <s v="Yes"/>
    <n v="20"/>
    <n v="7"/>
    <x v="12"/>
  </r>
  <r>
    <n v="3438"/>
    <x v="201"/>
    <x v="2"/>
    <x v="206"/>
    <x v="0"/>
    <n v="10"/>
    <x v="1"/>
    <s v="No"/>
    <x v="1"/>
    <s v="Yes"/>
    <n v="20"/>
    <n v="10"/>
    <x v="2"/>
  </r>
  <r>
    <n v="3439"/>
    <x v="202"/>
    <x v="1"/>
    <x v="207"/>
    <x v="1"/>
    <n v="5"/>
    <x v="2"/>
    <s v="No"/>
    <x v="1"/>
    <s v="No"/>
    <n v="0"/>
    <n v="1"/>
    <x v="4"/>
  </r>
  <r>
    <n v="3440"/>
    <x v="203"/>
    <x v="0"/>
    <x v="208"/>
    <x v="0"/>
    <n v="15"/>
    <x v="0"/>
    <s v="Yes"/>
    <x v="0"/>
    <s v="Yes"/>
    <n v="20"/>
    <n v="15"/>
    <x v="14"/>
  </r>
  <r>
    <n v="3441"/>
    <x v="204"/>
    <x v="2"/>
    <x v="209"/>
    <x v="1"/>
    <n v="10"/>
    <x v="0"/>
    <s v="No"/>
    <x v="1"/>
    <s v="Yes"/>
    <n v="20"/>
    <n v="5"/>
    <x v="13"/>
  </r>
  <r>
    <n v="3442"/>
    <x v="205"/>
    <x v="1"/>
    <x v="210"/>
    <x v="0"/>
    <n v="5"/>
    <x v="1"/>
    <s v="No"/>
    <x v="1"/>
    <s v="No"/>
    <n v="0"/>
    <n v="0"/>
    <x v="1"/>
  </r>
  <r>
    <n v="3443"/>
    <x v="206"/>
    <x v="0"/>
    <x v="211"/>
    <x v="1"/>
    <n v="15"/>
    <x v="2"/>
    <s v="Yes"/>
    <x v="0"/>
    <s v="Yes"/>
    <n v="20"/>
    <n v="20"/>
    <x v="8"/>
  </r>
  <r>
    <n v="3444"/>
    <x v="207"/>
    <x v="2"/>
    <x v="212"/>
    <x v="0"/>
    <n v="10"/>
    <x v="2"/>
    <s v="No"/>
    <x v="1"/>
    <s v="Yes"/>
    <n v="20"/>
    <n v="12"/>
    <x v="10"/>
  </r>
  <r>
    <n v="3445"/>
    <x v="37"/>
    <x v="1"/>
    <x v="213"/>
    <x v="1"/>
    <n v="5"/>
    <x v="0"/>
    <s v="No"/>
    <x v="1"/>
    <s v="No"/>
    <n v="0"/>
    <n v="2"/>
    <x v="11"/>
  </r>
  <r>
    <n v="3446"/>
    <x v="208"/>
    <x v="0"/>
    <x v="214"/>
    <x v="0"/>
    <n v="15"/>
    <x v="1"/>
    <s v="Yes"/>
    <x v="0"/>
    <s v="Yes"/>
    <n v="20"/>
    <n v="5"/>
    <x v="0"/>
  </r>
  <r>
    <n v="3447"/>
    <x v="209"/>
    <x v="2"/>
    <x v="215"/>
    <x v="1"/>
    <n v="10"/>
    <x v="0"/>
    <s v="No"/>
    <x v="1"/>
    <s v="Yes"/>
    <n v="20"/>
    <n v="10"/>
    <x v="2"/>
  </r>
  <r>
    <n v="3448"/>
    <x v="210"/>
    <x v="1"/>
    <x v="216"/>
    <x v="0"/>
    <n v="5"/>
    <x v="2"/>
    <s v="No"/>
    <x v="1"/>
    <s v="No"/>
    <n v="0"/>
    <n v="0"/>
    <x v="1"/>
  </r>
  <r>
    <n v="3449"/>
    <x v="211"/>
    <x v="0"/>
    <x v="217"/>
    <x v="1"/>
    <n v="15"/>
    <x v="0"/>
    <s v="Yes"/>
    <x v="0"/>
    <s v="Yes"/>
    <n v="20"/>
    <n v="3"/>
    <x v="3"/>
  </r>
  <r>
    <n v="3450"/>
    <x v="212"/>
    <x v="2"/>
    <x v="218"/>
    <x v="0"/>
    <n v="10"/>
    <x v="1"/>
    <s v="No"/>
    <x v="1"/>
    <s v="Yes"/>
    <n v="20"/>
    <n v="15"/>
    <x v="7"/>
  </r>
  <r>
    <n v="3451"/>
    <x v="213"/>
    <x v="1"/>
    <x v="219"/>
    <x v="1"/>
    <n v="5"/>
    <x v="0"/>
    <s v="No"/>
    <x v="1"/>
    <s v="No"/>
    <n v="0"/>
    <n v="1"/>
    <x v="4"/>
  </r>
  <r>
    <n v="3452"/>
    <x v="191"/>
    <x v="0"/>
    <x v="220"/>
    <x v="0"/>
    <n v="15"/>
    <x v="2"/>
    <s v="Yes"/>
    <x v="0"/>
    <s v="Yes"/>
    <n v="20"/>
    <n v="7"/>
    <x v="12"/>
  </r>
  <r>
    <n v="3453"/>
    <x v="45"/>
    <x v="2"/>
    <x v="221"/>
    <x v="1"/>
    <n v="10"/>
    <x v="0"/>
    <s v="No"/>
    <x v="1"/>
    <s v="Yes"/>
    <n v="20"/>
    <n v="10"/>
    <x v="2"/>
  </r>
  <r>
    <n v="3454"/>
    <x v="214"/>
    <x v="1"/>
    <x v="222"/>
    <x v="0"/>
    <n v="5"/>
    <x v="1"/>
    <s v="No"/>
    <x v="1"/>
    <s v="No"/>
    <n v="0"/>
    <n v="0"/>
    <x v="1"/>
  </r>
  <r>
    <n v="3455"/>
    <x v="215"/>
    <x v="0"/>
    <x v="223"/>
    <x v="1"/>
    <n v="15"/>
    <x v="0"/>
    <s v="Yes"/>
    <x v="0"/>
    <s v="Yes"/>
    <n v="20"/>
    <n v="20"/>
    <x v="8"/>
  </r>
  <r>
    <n v="3456"/>
    <x v="216"/>
    <x v="2"/>
    <x v="224"/>
    <x v="0"/>
    <n v="10"/>
    <x v="2"/>
    <s v="No"/>
    <x v="1"/>
    <s v="Yes"/>
    <n v="20"/>
    <n v="15"/>
    <x v="7"/>
  </r>
  <r>
    <n v="3457"/>
    <x v="217"/>
    <x v="1"/>
    <x v="225"/>
    <x v="1"/>
    <n v="5"/>
    <x v="0"/>
    <s v="No"/>
    <x v="1"/>
    <s v="No"/>
    <n v="0"/>
    <n v="1"/>
    <x v="4"/>
  </r>
  <r>
    <n v="3458"/>
    <x v="218"/>
    <x v="0"/>
    <x v="226"/>
    <x v="0"/>
    <n v="15"/>
    <x v="1"/>
    <s v="Yes"/>
    <x v="0"/>
    <s v="Yes"/>
    <n v="20"/>
    <n v="3"/>
    <x v="3"/>
  </r>
  <r>
    <n v="3459"/>
    <x v="219"/>
    <x v="2"/>
    <x v="227"/>
    <x v="1"/>
    <n v="10"/>
    <x v="0"/>
    <s v="No"/>
    <x v="1"/>
    <s v="Yes"/>
    <n v="20"/>
    <n v="10"/>
    <x v="2"/>
  </r>
  <r>
    <n v="3460"/>
    <x v="127"/>
    <x v="1"/>
    <x v="228"/>
    <x v="0"/>
    <n v="5"/>
    <x v="2"/>
    <s v="No"/>
    <x v="1"/>
    <s v="No"/>
    <n v="0"/>
    <n v="0"/>
    <x v="1"/>
  </r>
  <r>
    <n v="3461"/>
    <x v="220"/>
    <x v="0"/>
    <x v="229"/>
    <x v="1"/>
    <n v="15"/>
    <x v="0"/>
    <s v="Yes"/>
    <x v="0"/>
    <s v="Yes"/>
    <n v="20"/>
    <n v="15"/>
    <x v="14"/>
  </r>
  <r>
    <n v="3462"/>
    <x v="221"/>
    <x v="2"/>
    <x v="230"/>
    <x v="0"/>
    <n v="10"/>
    <x v="1"/>
    <s v="No"/>
    <x v="1"/>
    <s v="Yes"/>
    <n v="20"/>
    <n v="15"/>
    <x v="7"/>
  </r>
  <r>
    <n v="3463"/>
    <x v="222"/>
    <x v="1"/>
    <x v="231"/>
    <x v="1"/>
    <n v="5"/>
    <x v="0"/>
    <s v="No"/>
    <x v="1"/>
    <s v="No"/>
    <n v="0"/>
    <n v="1"/>
    <x v="4"/>
  </r>
  <r>
    <n v="3464"/>
    <x v="223"/>
    <x v="0"/>
    <x v="232"/>
    <x v="0"/>
    <n v="15"/>
    <x v="2"/>
    <s v="Yes"/>
    <x v="0"/>
    <s v="Yes"/>
    <n v="20"/>
    <n v="7"/>
    <x v="12"/>
  </r>
  <r>
    <n v="3465"/>
    <x v="224"/>
    <x v="2"/>
    <x v="233"/>
    <x v="1"/>
    <n v="10"/>
    <x v="0"/>
    <s v="No"/>
    <x v="1"/>
    <s v="Yes"/>
    <n v="20"/>
    <n v="10"/>
    <x v="2"/>
  </r>
  <r>
    <n v="3466"/>
    <x v="225"/>
    <x v="1"/>
    <x v="234"/>
    <x v="0"/>
    <n v="5"/>
    <x v="1"/>
    <s v="No"/>
    <x v="1"/>
    <s v="No"/>
    <n v="0"/>
    <n v="0"/>
    <x v="1"/>
  </r>
  <r>
    <n v="3467"/>
    <x v="226"/>
    <x v="0"/>
    <x v="235"/>
    <x v="1"/>
    <n v="15"/>
    <x v="0"/>
    <s v="Yes"/>
    <x v="0"/>
    <s v="Yes"/>
    <n v="20"/>
    <n v="15"/>
    <x v="14"/>
  </r>
  <r>
    <n v="3468"/>
    <x v="227"/>
    <x v="2"/>
    <x v="236"/>
    <x v="0"/>
    <n v="10"/>
    <x v="2"/>
    <s v="No"/>
    <x v="1"/>
    <s v="Yes"/>
    <n v="20"/>
    <n v="12"/>
    <x v="10"/>
  </r>
  <r>
    <n v="3469"/>
    <x v="228"/>
    <x v="1"/>
    <x v="237"/>
    <x v="1"/>
    <n v="5"/>
    <x v="0"/>
    <s v="No"/>
    <x v="1"/>
    <s v="No"/>
    <n v="0"/>
    <n v="2"/>
    <x v="11"/>
  </r>
  <r>
    <n v="3470"/>
    <x v="229"/>
    <x v="0"/>
    <x v="238"/>
    <x v="0"/>
    <n v="15"/>
    <x v="1"/>
    <s v="Yes"/>
    <x v="0"/>
    <s v="Yes"/>
    <n v="20"/>
    <n v="5"/>
    <x v="0"/>
  </r>
  <r>
    <n v="3471"/>
    <x v="230"/>
    <x v="2"/>
    <x v="239"/>
    <x v="1"/>
    <n v="10"/>
    <x v="0"/>
    <s v="No"/>
    <x v="1"/>
    <s v="Yes"/>
    <n v="20"/>
    <n v="10"/>
    <x v="2"/>
  </r>
  <r>
    <n v="3472"/>
    <x v="231"/>
    <x v="1"/>
    <x v="240"/>
    <x v="0"/>
    <n v="5"/>
    <x v="2"/>
    <s v="No"/>
    <x v="1"/>
    <s v="No"/>
    <n v="0"/>
    <n v="0"/>
    <x v="1"/>
  </r>
  <r>
    <n v="3473"/>
    <x v="140"/>
    <x v="0"/>
    <x v="241"/>
    <x v="1"/>
    <n v="15"/>
    <x v="0"/>
    <s v="Yes"/>
    <x v="0"/>
    <s v="Yes"/>
    <n v="20"/>
    <n v="3"/>
    <x v="3"/>
  </r>
  <r>
    <n v="3474"/>
    <x v="232"/>
    <x v="2"/>
    <x v="242"/>
    <x v="0"/>
    <n v="10"/>
    <x v="1"/>
    <s v="No"/>
    <x v="1"/>
    <s v="Yes"/>
    <n v="20"/>
    <n v="15"/>
    <x v="7"/>
  </r>
  <r>
    <n v="3475"/>
    <x v="233"/>
    <x v="1"/>
    <x v="243"/>
    <x v="1"/>
    <n v="5"/>
    <x v="0"/>
    <s v="No"/>
    <x v="1"/>
    <s v="No"/>
    <n v="0"/>
    <n v="1"/>
    <x v="4"/>
  </r>
  <r>
    <n v="3476"/>
    <x v="234"/>
    <x v="0"/>
    <x v="244"/>
    <x v="0"/>
    <n v="15"/>
    <x v="2"/>
    <s v="Yes"/>
    <x v="0"/>
    <s v="Yes"/>
    <n v="20"/>
    <n v="7"/>
    <x v="12"/>
  </r>
  <r>
    <n v="3477"/>
    <x v="235"/>
    <x v="2"/>
    <x v="245"/>
    <x v="1"/>
    <n v="10"/>
    <x v="0"/>
    <s v="No"/>
    <x v="1"/>
    <s v="Yes"/>
    <n v="20"/>
    <n v="10"/>
    <x v="2"/>
  </r>
  <r>
    <n v="3478"/>
    <x v="236"/>
    <x v="1"/>
    <x v="246"/>
    <x v="0"/>
    <n v="5"/>
    <x v="1"/>
    <s v="No"/>
    <x v="1"/>
    <s v="No"/>
    <n v="0"/>
    <n v="0"/>
    <x v="1"/>
  </r>
  <r>
    <n v="3479"/>
    <x v="237"/>
    <x v="0"/>
    <x v="247"/>
    <x v="1"/>
    <n v="15"/>
    <x v="0"/>
    <s v="Yes"/>
    <x v="0"/>
    <s v="Yes"/>
    <n v="20"/>
    <n v="20"/>
    <x v="8"/>
  </r>
  <r>
    <n v="3480"/>
    <x v="238"/>
    <x v="2"/>
    <x v="248"/>
    <x v="0"/>
    <n v="10"/>
    <x v="2"/>
    <s v="No"/>
    <x v="1"/>
    <s v="Yes"/>
    <n v="20"/>
    <n v="15"/>
    <x v="7"/>
  </r>
  <r>
    <n v="3481"/>
    <x v="239"/>
    <x v="1"/>
    <x v="249"/>
    <x v="1"/>
    <n v="5"/>
    <x v="0"/>
    <s v="No"/>
    <x v="1"/>
    <s v="No"/>
    <n v="0"/>
    <n v="1"/>
    <x v="4"/>
  </r>
  <r>
    <n v="3482"/>
    <x v="240"/>
    <x v="0"/>
    <x v="250"/>
    <x v="0"/>
    <n v="15"/>
    <x v="1"/>
    <s v="Yes"/>
    <x v="0"/>
    <s v="Yes"/>
    <n v="20"/>
    <n v="3"/>
    <x v="3"/>
  </r>
  <r>
    <n v="3483"/>
    <x v="241"/>
    <x v="2"/>
    <x v="251"/>
    <x v="1"/>
    <n v="10"/>
    <x v="0"/>
    <s v="No"/>
    <x v="1"/>
    <s v="Yes"/>
    <n v="20"/>
    <n v="10"/>
    <x v="2"/>
  </r>
  <r>
    <n v="3484"/>
    <x v="242"/>
    <x v="1"/>
    <x v="252"/>
    <x v="0"/>
    <n v="5"/>
    <x v="2"/>
    <s v="No"/>
    <x v="1"/>
    <s v="No"/>
    <n v="0"/>
    <n v="0"/>
    <x v="1"/>
  </r>
  <r>
    <n v="3485"/>
    <x v="243"/>
    <x v="0"/>
    <x v="253"/>
    <x v="1"/>
    <n v="15"/>
    <x v="0"/>
    <s v="Yes"/>
    <x v="0"/>
    <s v="Yes"/>
    <n v="20"/>
    <n v="15"/>
    <x v="14"/>
  </r>
  <r>
    <n v="3486"/>
    <x v="244"/>
    <x v="1"/>
    <x v="254"/>
    <x v="0"/>
    <n v="5"/>
    <x v="0"/>
    <s v="No"/>
    <x v="1"/>
    <s v="No"/>
    <n v="0"/>
    <n v="0"/>
    <x v="1"/>
  </r>
  <r>
    <n v="3487"/>
    <x v="245"/>
    <x v="0"/>
    <x v="255"/>
    <x v="1"/>
    <n v="15"/>
    <x v="2"/>
    <s v="Yes"/>
    <x v="0"/>
    <s v="Yes"/>
    <n v="20"/>
    <n v="7"/>
    <x v="12"/>
  </r>
  <r>
    <n v="3488"/>
    <x v="246"/>
    <x v="2"/>
    <x v="256"/>
    <x v="0"/>
    <n v="10"/>
    <x v="1"/>
    <s v="No"/>
    <x v="1"/>
    <s v="Yes"/>
    <n v="20"/>
    <n v="10"/>
    <x v="2"/>
  </r>
  <r>
    <n v="3489"/>
    <x v="247"/>
    <x v="1"/>
    <x v="257"/>
    <x v="1"/>
    <n v="5"/>
    <x v="2"/>
    <s v="No"/>
    <x v="1"/>
    <s v="No"/>
    <n v="0"/>
    <n v="1"/>
    <x v="4"/>
  </r>
  <r>
    <n v="3490"/>
    <x v="248"/>
    <x v="0"/>
    <x v="258"/>
    <x v="0"/>
    <n v="15"/>
    <x v="0"/>
    <s v="Yes"/>
    <x v="0"/>
    <s v="Yes"/>
    <n v="20"/>
    <n v="15"/>
    <x v="14"/>
  </r>
  <r>
    <n v="3491"/>
    <x v="249"/>
    <x v="2"/>
    <x v="259"/>
    <x v="1"/>
    <n v="10"/>
    <x v="0"/>
    <s v="No"/>
    <x v="1"/>
    <s v="Yes"/>
    <n v="20"/>
    <n v="5"/>
    <x v="13"/>
  </r>
  <r>
    <n v="3492"/>
    <x v="250"/>
    <x v="1"/>
    <x v="260"/>
    <x v="0"/>
    <n v="5"/>
    <x v="1"/>
    <s v="No"/>
    <x v="1"/>
    <s v="No"/>
    <n v="0"/>
    <n v="0"/>
    <x v="1"/>
  </r>
  <r>
    <n v="3493"/>
    <x v="251"/>
    <x v="0"/>
    <x v="261"/>
    <x v="1"/>
    <n v="15"/>
    <x v="2"/>
    <s v="Yes"/>
    <x v="0"/>
    <s v="Yes"/>
    <n v="20"/>
    <n v="20"/>
    <x v="8"/>
  </r>
  <r>
    <n v="3494"/>
    <x v="252"/>
    <x v="2"/>
    <x v="262"/>
    <x v="0"/>
    <n v="10"/>
    <x v="2"/>
    <s v="No"/>
    <x v="1"/>
    <s v="Yes"/>
    <n v="20"/>
    <n v="12"/>
    <x v="10"/>
  </r>
  <r>
    <n v="3495"/>
    <x v="253"/>
    <x v="1"/>
    <x v="263"/>
    <x v="1"/>
    <n v="5"/>
    <x v="0"/>
    <s v="No"/>
    <x v="1"/>
    <s v="No"/>
    <n v="0"/>
    <n v="2"/>
    <x v="11"/>
  </r>
  <r>
    <n v="3496"/>
    <x v="254"/>
    <x v="0"/>
    <x v="264"/>
    <x v="0"/>
    <n v="15"/>
    <x v="1"/>
    <s v="Yes"/>
    <x v="0"/>
    <s v="Yes"/>
    <n v="20"/>
    <n v="5"/>
    <x v="0"/>
  </r>
  <r>
    <n v="3497"/>
    <x v="255"/>
    <x v="2"/>
    <x v="265"/>
    <x v="1"/>
    <n v="10"/>
    <x v="0"/>
    <s v="No"/>
    <x v="1"/>
    <s v="Yes"/>
    <n v="20"/>
    <n v="10"/>
    <x v="2"/>
  </r>
  <r>
    <n v="3498"/>
    <x v="256"/>
    <x v="1"/>
    <x v="266"/>
    <x v="0"/>
    <n v="5"/>
    <x v="2"/>
    <s v="No"/>
    <x v="1"/>
    <s v="No"/>
    <n v="0"/>
    <n v="0"/>
    <x v="1"/>
  </r>
  <r>
    <n v="3499"/>
    <x v="257"/>
    <x v="0"/>
    <x v="267"/>
    <x v="1"/>
    <n v="15"/>
    <x v="0"/>
    <s v="Yes"/>
    <x v="0"/>
    <s v="Yes"/>
    <n v="20"/>
    <n v="3"/>
    <x v="3"/>
  </r>
  <r>
    <n v="3500"/>
    <x v="258"/>
    <x v="2"/>
    <x v="268"/>
    <x v="0"/>
    <n v="10"/>
    <x v="1"/>
    <s v="No"/>
    <x v="1"/>
    <s v="Yes"/>
    <n v="20"/>
    <n v="15"/>
    <x v="7"/>
  </r>
  <r>
    <n v="3501"/>
    <x v="259"/>
    <x v="1"/>
    <x v="269"/>
    <x v="1"/>
    <n v="5"/>
    <x v="0"/>
    <s v="No"/>
    <x v="1"/>
    <s v="No"/>
    <n v="0"/>
    <n v="1"/>
    <x v="4"/>
  </r>
  <r>
    <n v="3502"/>
    <x v="260"/>
    <x v="0"/>
    <x v="270"/>
    <x v="0"/>
    <n v="15"/>
    <x v="2"/>
    <s v="Yes"/>
    <x v="0"/>
    <s v="Yes"/>
    <n v="20"/>
    <n v="7"/>
    <x v="12"/>
  </r>
  <r>
    <n v="3503"/>
    <x v="119"/>
    <x v="2"/>
    <x v="271"/>
    <x v="1"/>
    <n v="10"/>
    <x v="0"/>
    <s v="No"/>
    <x v="1"/>
    <s v="Yes"/>
    <n v="20"/>
    <n v="10"/>
    <x v="2"/>
  </r>
  <r>
    <n v="3504"/>
    <x v="261"/>
    <x v="1"/>
    <x v="272"/>
    <x v="0"/>
    <n v="5"/>
    <x v="1"/>
    <s v="No"/>
    <x v="1"/>
    <s v="No"/>
    <n v="0"/>
    <n v="0"/>
    <x v="1"/>
  </r>
  <r>
    <n v="3505"/>
    <x v="262"/>
    <x v="0"/>
    <x v="273"/>
    <x v="1"/>
    <n v="15"/>
    <x v="0"/>
    <s v="Yes"/>
    <x v="0"/>
    <s v="Yes"/>
    <n v="20"/>
    <n v="20"/>
    <x v="8"/>
  </r>
  <r>
    <n v="3506"/>
    <x v="263"/>
    <x v="2"/>
    <x v="274"/>
    <x v="0"/>
    <n v="10"/>
    <x v="2"/>
    <s v="No"/>
    <x v="1"/>
    <s v="Yes"/>
    <n v="20"/>
    <n v="15"/>
    <x v="7"/>
  </r>
  <r>
    <n v="3507"/>
    <x v="264"/>
    <x v="1"/>
    <x v="275"/>
    <x v="1"/>
    <n v="5"/>
    <x v="0"/>
    <s v="No"/>
    <x v="1"/>
    <s v="No"/>
    <n v="0"/>
    <n v="1"/>
    <x v="4"/>
  </r>
  <r>
    <n v="3508"/>
    <x v="265"/>
    <x v="0"/>
    <x v="276"/>
    <x v="0"/>
    <n v="15"/>
    <x v="1"/>
    <s v="Yes"/>
    <x v="0"/>
    <s v="Yes"/>
    <n v="20"/>
    <n v="3"/>
    <x v="3"/>
  </r>
  <r>
    <n v="3509"/>
    <x v="266"/>
    <x v="2"/>
    <x v="277"/>
    <x v="1"/>
    <n v="10"/>
    <x v="0"/>
    <s v="No"/>
    <x v="1"/>
    <s v="Yes"/>
    <n v="20"/>
    <n v="10"/>
    <x v="2"/>
  </r>
  <r>
    <n v="3510"/>
    <x v="267"/>
    <x v="1"/>
    <x v="278"/>
    <x v="0"/>
    <n v="5"/>
    <x v="2"/>
    <s v="No"/>
    <x v="1"/>
    <s v="No"/>
    <n v="0"/>
    <n v="0"/>
    <x v="1"/>
  </r>
  <r>
    <n v="3511"/>
    <x v="268"/>
    <x v="0"/>
    <x v="279"/>
    <x v="1"/>
    <n v="15"/>
    <x v="0"/>
    <s v="Yes"/>
    <x v="0"/>
    <s v="Yes"/>
    <n v="20"/>
    <n v="15"/>
    <x v="14"/>
  </r>
  <r>
    <n v="3512"/>
    <x v="269"/>
    <x v="2"/>
    <x v="280"/>
    <x v="0"/>
    <n v="10"/>
    <x v="1"/>
    <s v="No"/>
    <x v="1"/>
    <s v="Yes"/>
    <n v="20"/>
    <n v="15"/>
    <x v="7"/>
  </r>
  <r>
    <n v="3513"/>
    <x v="270"/>
    <x v="1"/>
    <x v="281"/>
    <x v="1"/>
    <n v="5"/>
    <x v="0"/>
    <s v="No"/>
    <x v="1"/>
    <s v="No"/>
    <n v="0"/>
    <n v="1"/>
    <x v="4"/>
  </r>
  <r>
    <n v="3514"/>
    <x v="271"/>
    <x v="0"/>
    <x v="282"/>
    <x v="0"/>
    <n v="15"/>
    <x v="2"/>
    <s v="Yes"/>
    <x v="0"/>
    <s v="Yes"/>
    <n v="20"/>
    <n v="7"/>
    <x v="12"/>
  </r>
  <r>
    <n v="3515"/>
    <x v="130"/>
    <x v="2"/>
    <x v="283"/>
    <x v="1"/>
    <n v="10"/>
    <x v="0"/>
    <s v="No"/>
    <x v="1"/>
    <s v="Yes"/>
    <n v="20"/>
    <n v="10"/>
    <x v="2"/>
  </r>
  <r>
    <n v="3516"/>
    <x v="131"/>
    <x v="1"/>
    <x v="284"/>
    <x v="0"/>
    <n v="5"/>
    <x v="1"/>
    <s v="No"/>
    <x v="1"/>
    <s v="No"/>
    <n v="0"/>
    <n v="0"/>
    <x v="1"/>
  </r>
  <r>
    <n v="3517"/>
    <x v="181"/>
    <x v="0"/>
    <x v="285"/>
    <x v="1"/>
    <n v="15"/>
    <x v="0"/>
    <s v="Yes"/>
    <x v="0"/>
    <s v="Yes"/>
    <n v="20"/>
    <n v="20"/>
    <x v="8"/>
  </r>
  <r>
    <n v="3518"/>
    <x v="272"/>
    <x v="2"/>
    <x v="286"/>
    <x v="0"/>
    <n v="10"/>
    <x v="2"/>
    <s v="No"/>
    <x v="1"/>
    <s v="Yes"/>
    <n v="20"/>
    <n v="12"/>
    <x v="10"/>
  </r>
  <r>
    <n v="3519"/>
    <x v="273"/>
    <x v="1"/>
    <x v="287"/>
    <x v="1"/>
    <n v="5"/>
    <x v="0"/>
    <s v="No"/>
    <x v="1"/>
    <s v="No"/>
    <n v="0"/>
    <n v="2"/>
    <x v="11"/>
  </r>
  <r>
    <n v="3520"/>
    <x v="274"/>
    <x v="0"/>
    <x v="288"/>
    <x v="0"/>
    <n v="15"/>
    <x v="1"/>
    <s v="Yes"/>
    <x v="0"/>
    <s v="Yes"/>
    <n v="20"/>
    <n v="5"/>
    <x v="0"/>
  </r>
  <r>
    <n v="3521"/>
    <x v="275"/>
    <x v="2"/>
    <x v="289"/>
    <x v="1"/>
    <n v="10"/>
    <x v="0"/>
    <s v="No"/>
    <x v="1"/>
    <s v="Yes"/>
    <n v="20"/>
    <n v="10"/>
    <x v="2"/>
  </r>
  <r>
    <n v="3522"/>
    <x v="276"/>
    <x v="1"/>
    <x v="290"/>
    <x v="0"/>
    <n v="5"/>
    <x v="2"/>
    <s v="No"/>
    <x v="1"/>
    <s v="No"/>
    <n v="0"/>
    <n v="0"/>
    <x v="1"/>
  </r>
  <r>
    <n v="3523"/>
    <x v="277"/>
    <x v="0"/>
    <x v="291"/>
    <x v="1"/>
    <n v="15"/>
    <x v="0"/>
    <s v="Yes"/>
    <x v="0"/>
    <s v="Yes"/>
    <n v="20"/>
    <n v="3"/>
    <x v="3"/>
  </r>
  <r>
    <n v="3524"/>
    <x v="278"/>
    <x v="2"/>
    <x v="292"/>
    <x v="0"/>
    <n v="10"/>
    <x v="1"/>
    <s v="No"/>
    <x v="1"/>
    <s v="Yes"/>
    <n v="20"/>
    <n v="15"/>
    <x v="7"/>
  </r>
  <r>
    <n v="3525"/>
    <x v="279"/>
    <x v="1"/>
    <x v="293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CF584-9884-4AEB-85D5-45B00B846BEC}" name="tbl_countstart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39:C52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tart Date" fld="3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157D0-4C77-4D6D-9068-792AE313CB05}" name="tbl_seasonmine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9:C33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DCCE3-4946-4E0C-85B4-772ABC188CCA}" name="tbl_easeason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7:C21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040B2-24F0-4A9A-BF8F-523CD607A2AB}" name="tbl__an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7:C10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A60478E-4682-4C6C-8029-528FB26945AF}" sourceName="Subscription Type">
  <pivotTables>
    <pivotTable tabId="3" name="tbl__annual_total"/>
    <pivotTable tabId="3" name="tbl_easeason_total"/>
    <pivotTable tabId="3" name="tbl_seasonmine"/>
    <pivotTable tabId="3" name="tbl_countstart"/>
  </pivotTables>
  <data>
    <tabular pivotCacheId="154346012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B9021F0-5D4B-4DE8-9F3B-9490B275B923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5.125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52"/>
  <sheetViews>
    <sheetView showGridLines="0" topLeftCell="A16" workbookViewId="0">
      <selection activeCell="B39" sqref="B39"/>
    </sheetView>
  </sheetViews>
  <sheetFormatPr defaultRowHeight="14.25"/>
  <cols>
    <col min="2" max="2" width="16.125" bestFit="1" customWidth="1"/>
    <col min="3" max="3" width="22.375" bestFit="1" customWidth="1"/>
    <col min="4" max="296" width="9.875" bestFit="1" customWidth="1"/>
    <col min="297" max="297" width="10.75" bestFit="1" customWidth="1"/>
  </cols>
  <sheetData>
    <row r="2" spans="2:3">
      <c r="B2" t="s">
        <v>313</v>
      </c>
    </row>
    <row r="3" spans="2:3">
      <c r="B3" t="s">
        <v>318</v>
      </c>
    </row>
    <row r="7" spans="2:3">
      <c r="B7" s="12" t="s">
        <v>314</v>
      </c>
      <c r="C7" t="s">
        <v>316</v>
      </c>
    </row>
    <row r="8" spans="2:3">
      <c r="B8" s="13" t="s">
        <v>23</v>
      </c>
      <c r="C8" s="14">
        <v>3847</v>
      </c>
    </row>
    <row r="9" spans="2:3">
      <c r="B9" s="13" t="s">
        <v>19</v>
      </c>
      <c r="C9" s="14">
        <v>3786</v>
      </c>
    </row>
    <row r="10" spans="2:3">
      <c r="B10" s="13" t="s">
        <v>315</v>
      </c>
      <c r="C10" s="14">
        <v>7633</v>
      </c>
    </row>
    <row r="13" spans="2:3">
      <c r="B13" s="13" t="s">
        <v>319</v>
      </c>
    </row>
    <row r="15" spans="2:3">
      <c r="B15" s="12" t="s">
        <v>16</v>
      </c>
      <c r="C15" t="s">
        <v>317</v>
      </c>
    </row>
    <row r="17" spans="2:5">
      <c r="B17" s="12" t="s">
        <v>314</v>
      </c>
      <c r="C17" t="s">
        <v>320</v>
      </c>
    </row>
    <row r="18" spans="2:5">
      <c r="B18" s="13" t="s">
        <v>22</v>
      </c>
      <c r="C18" s="17">
        <v>0</v>
      </c>
    </row>
    <row r="19" spans="2:5">
      <c r="B19" s="13" t="s">
        <v>26</v>
      </c>
      <c r="C19" s="17">
        <v>0</v>
      </c>
    </row>
    <row r="20" spans="2:5">
      <c r="B20" s="13" t="s">
        <v>18</v>
      </c>
      <c r="C20" s="17">
        <v>2940</v>
      </c>
    </row>
    <row r="21" spans="2:5">
      <c r="B21" s="13" t="s">
        <v>315</v>
      </c>
      <c r="C21" s="17">
        <v>2940</v>
      </c>
      <c r="E21" s="18">
        <f>GETPIVOTDATA("EA Play Season Pass
Price",$B$17)</f>
        <v>2940</v>
      </c>
    </row>
    <row r="24" spans="2:5">
      <c r="B24" s="13" t="s">
        <v>321</v>
      </c>
    </row>
    <row r="27" spans="2:5">
      <c r="B27" s="12" t="s">
        <v>16</v>
      </c>
      <c r="C27" t="s">
        <v>317</v>
      </c>
    </row>
    <row r="29" spans="2:5">
      <c r="B29" s="12" t="s">
        <v>314</v>
      </c>
      <c r="C29" t="s">
        <v>322</v>
      </c>
    </row>
    <row r="30" spans="2:5">
      <c r="B30" s="13" t="s">
        <v>22</v>
      </c>
      <c r="C30" s="14">
        <v>0</v>
      </c>
    </row>
    <row r="31" spans="2:5">
      <c r="B31" s="13" t="s">
        <v>26</v>
      </c>
      <c r="C31" s="14">
        <v>1920</v>
      </c>
    </row>
    <row r="32" spans="2:5">
      <c r="B32" s="13" t="s">
        <v>18</v>
      </c>
      <c r="C32" s="14">
        <v>1960</v>
      </c>
    </row>
    <row r="33" spans="2:5">
      <c r="B33" s="13" t="s">
        <v>315</v>
      </c>
      <c r="C33" s="14">
        <v>3880</v>
      </c>
      <c r="E33" s="18">
        <f>GETPIVOTDATA("Minecraft Season Pass Price",$B$29)</f>
        <v>3880</v>
      </c>
    </row>
    <row r="39" spans="2:5">
      <c r="B39" s="12" t="s">
        <v>314</v>
      </c>
      <c r="C39" t="s">
        <v>336</v>
      </c>
    </row>
    <row r="40" spans="2:5">
      <c r="B40" s="13" t="s">
        <v>335</v>
      </c>
      <c r="C40" s="17">
        <v>2</v>
      </c>
    </row>
    <row r="41" spans="2:5">
      <c r="B41" s="13" t="s">
        <v>334</v>
      </c>
      <c r="C41" s="17">
        <v>2</v>
      </c>
    </row>
    <row r="42" spans="2:5">
      <c r="B42" s="13" t="s">
        <v>324</v>
      </c>
      <c r="C42" s="17">
        <v>31</v>
      </c>
    </row>
    <row r="43" spans="2:5">
      <c r="B43" s="13" t="s">
        <v>325</v>
      </c>
      <c r="C43" s="17">
        <v>30</v>
      </c>
    </row>
    <row r="44" spans="2:5">
      <c r="B44" s="13" t="s">
        <v>326</v>
      </c>
      <c r="C44" s="17">
        <v>31</v>
      </c>
    </row>
    <row r="45" spans="2:5">
      <c r="B45" s="13" t="s">
        <v>327</v>
      </c>
      <c r="C45" s="17">
        <v>30</v>
      </c>
    </row>
    <row r="46" spans="2:5">
      <c r="B46" s="13" t="s">
        <v>328</v>
      </c>
      <c r="C46" s="17">
        <v>31</v>
      </c>
    </row>
    <row r="47" spans="2:5">
      <c r="B47" s="13" t="s">
        <v>329</v>
      </c>
      <c r="C47" s="17">
        <v>31</v>
      </c>
    </row>
    <row r="48" spans="2:5">
      <c r="B48" s="13" t="s">
        <v>330</v>
      </c>
      <c r="C48" s="17">
        <v>30</v>
      </c>
    </row>
    <row r="49" spans="2:3">
      <c r="B49" s="13" t="s">
        <v>331</v>
      </c>
      <c r="C49" s="17">
        <v>31</v>
      </c>
    </row>
    <row r="50" spans="2:3">
      <c r="B50" s="13" t="s">
        <v>332</v>
      </c>
      <c r="C50" s="17">
        <v>30</v>
      </c>
    </row>
    <row r="51" spans="2:3">
      <c r="B51" s="13" t="s">
        <v>333</v>
      </c>
      <c r="C51" s="17">
        <v>16</v>
      </c>
    </row>
    <row r="52" spans="2:3">
      <c r="B52" s="13" t="s">
        <v>315</v>
      </c>
      <c r="C52" s="17">
        <v>295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64"/>
  <sheetViews>
    <sheetView showGridLines="0" tabSelected="1" zoomScale="80" zoomScaleNormal="80" workbookViewId="0">
      <selection activeCell="R45" sqref="R45"/>
    </sheetView>
  </sheetViews>
  <sheetFormatPr defaultRowHeight="14.25"/>
  <cols>
    <col min="1" max="1" width="31.5" style="5" customWidth="1"/>
    <col min="2" max="2" width="7.75" customWidth="1"/>
    <col min="12" max="12" width="6.625" customWidth="1"/>
  </cols>
  <sheetData>
    <row r="1" spans="1:26" s="15" customFormat="1">
      <c r="A1" s="5"/>
    </row>
    <row r="2" spans="1:26" s="15" customFormat="1" ht="40.5" customHeight="1" thickBot="1">
      <c r="A2" s="5"/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6" s="15" customFormat="1" ht="23.25" customHeight="1" thickTop="1">
      <c r="A3" s="5"/>
    </row>
    <row r="4" spans="1:26" ht="19.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EA - Pedro Henrique Iglesias Ferreira</cp:lastModifiedBy>
  <dcterms:created xsi:type="dcterms:W3CDTF">2024-12-19T13:13:10Z</dcterms:created>
  <dcterms:modified xsi:type="dcterms:W3CDTF">2026-01-17T15:30:06Z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